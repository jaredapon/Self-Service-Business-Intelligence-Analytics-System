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no 8oz HOT" sheetId="1" r:id="rId4"/>
    <sheet state="visible" name="Americano 12oz HOT" sheetId="2" r:id="rId5"/>
    <sheet state="visible" name="Americano 16oz ICED" sheetId="3" r:id="rId6"/>
    <sheet state="visible" name="Book Latte 8oz HOT" sheetId="4" r:id="rId7"/>
    <sheet state="visible" name="Book Latte 12oz HOT" sheetId="5" r:id="rId8"/>
    <sheet state="visible" name="Book Latte 16oz ICED" sheetId="6" r:id="rId9"/>
    <sheet state="visible" name="Cappucino 8oz HOT" sheetId="7" r:id="rId10"/>
    <sheet state="visible" name="Cappucino 12oz HOT" sheetId="8" r:id="rId11"/>
    <sheet state="visible" name="Cappucino 16oz ICED" sheetId="9" r:id="rId12"/>
    <sheet state="visible" name="Caramel Corto Latte 8oz HOT" sheetId="10" r:id="rId13"/>
    <sheet state="visible" name="Caramel Corto Latte 12oz HOT" sheetId="11" r:id="rId14"/>
    <sheet state="visible" name="Caramel Corto 16oz ICED" sheetId="12" r:id="rId15"/>
    <sheet state="visible" name="Salted Caramel Latte 12oz HOT" sheetId="13" r:id="rId16"/>
    <sheet state="visible" name="Salted Caramel Latte 16oz ICED" sheetId="14" r:id="rId17"/>
    <sheet state="visible" name="Cafe Mocha 8oz HOT" sheetId="15" r:id="rId18"/>
    <sheet state="visible" name="Cafe Mocha 12oz HOT" sheetId="16" r:id="rId19"/>
    <sheet state="visible" name="Cafe Mocha 16oz ICED" sheetId="17" r:id="rId20"/>
    <sheet state="visible" name="Hot Choco 8oz" sheetId="18" r:id="rId21"/>
    <sheet state="visible" name="Hot Choco 12oz" sheetId="19" r:id="rId22"/>
    <sheet state="visible" name="Iced Choco 16oz" sheetId="20" r:id="rId23"/>
    <sheet state="visible" name="Matcha 8oz HOT" sheetId="21" r:id="rId24"/>
    <sheet state="visible" name="Matcha 12oz HOT" sheetId="22" r:id="rId25"/>
    <sheet state="visible" name="Matcha 12oz ICED" sheetId="23" r:id="rId26"/>
    <sheet state="visible" name="Matcha 16oz ICED" sheetId="24" r:id="rId27"/>
  </sheets>
  <definedNames/>
  <calcPr/>
  <extLst>
    <ext uri="GoogleSheetsCustomDataVersion2">
      <go:sheetsCustomData xmlns:go="http://customooxmlschemas.google.com/" r:id="rId28" roundtripDataChecksum="cUHt9qiE3BVUjA8Y8nNqb/1IuADJ4HeJg2B1sy+/GvA="/>
    </ext>
  </extLst>
</workbook>
</file>

<file path=xl/sharedStrings.xml><?xml version="1.0" encoding="utf-8"?>
<sst xmlns="http://schemas.openxmlformats.org/spreadsheetml/2006/main" count="1008" uniqueCount="106">
  <si>
    <t>Recipe Name:</t>
  </si>
  <si>
    <t>Americano 8oz HOT</t>
  </si>
  <si>
    <t>Price on Menu:</t>
  </si>
  <si>
    <t>Original Total Yield:</t>
  </si>
  <si>
    <t>drink</t>
  </si>
  <si>
    <t>Budgeted Food Cost:</t>
  </si>
  <si>
    <t>Portion Size:</t>
  </si>
  <si>
    <t>oz</t>
  </si>
  <si>
    <t>Q-factor (for entrees only):</t>
  </si>
  <si>
    <t>Number of Portions:</t>
  </si>
  <si>
    <t>Ingredient</t>
  </si>
  <si>
    <t>AP Pack Cost</t>
  </si>
  <si>
    <t>Pack Size</t>
  </si>
  <si>
    <t>Pack Unit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</si>
  <si>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</si>
  <si>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AP Price</t>
  </si>
  <si>
    <t>Yield %</t>
  </si>
  <si>
    <t>EP Price</t>
  </si>
  <si>
    <t>Recipe Quantity</t>
  </si>
  <si>
    <t>EP Unit</t>
  </si>
  <si>
    <t>Item Cost</t>
  </si>
  <si>
    <t>Espresso</t>
  </si>
  <si>
    <t>kg</t>
  </si>
  <si>
    <t>shot</t>
  </si>
  <si>
    <t>Water</t>
  </si>
  <si>
    <t>ml</t>
  </si>
  <si>
    <t>Total Cost</t>
  </si>
  <si>
    <t>Cost per portion</t>
  </si>
  <si>
    <t>Cost per portion + Q-factor</t>
  </si>
  <si>
    <t>Item's Food Cost Percent</t>
  </si>
  <si>
    <t>Suggested Selling Price at Budgeted Food Cost</t>
  </si>
  <si>
    <t>*1 shot espresso = 30ml water + 135ml to make 8oz drink</t>
  </si>
  <si>
    <t>Americano 12oz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</si>
  <si>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</si>
  <si>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*2 shots espresso = 60ml + 200ml water to make 12oz drink</t>
  </si>
  <si>
    <t>Americano 16oz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</si>
  <si>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</si>
  <si>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Ice</t>
  </si>
  <si>
    <t>*2 shots espresso = 60ml + 150ml water to make 16oz ICED drink</t>
  </si>
  <si>
    <t>*for ice usage, assumed 6 portions per kilo for 5kgs per pack</t>
  </si>
  <si>
    <t>Book Latte 8oz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</si>
  <si>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</si>
  <si>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Milk</t>
  </si>
  <si>
    <t>liter</t>
  </si>
  <si>
    <t>*milk divided by 10ml</t>
  </si>
  <si>
    <t>Book Latte 12oz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</si>
  <si>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</si>
  <si>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Book Latte 16oz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</si>
  <si>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</si>
  <si>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Cappucino 8oz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</si>
  <si>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</si>
  <si>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Cinnamon Powder</t>
  </si>
  <si>
    <t>grams</t>
  </si>
  <si>
    <t>Cappucino 12oz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</si>
  <si>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</si>
  <si>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Cappucino 16oz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</si>
  <si>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</si>
  <si>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Caramel Corto Latte 8oz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</si>
  <si>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</si>
  <si>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Caramel Sauce</t>
  </si>
  <si>
    <t>*caramel sauce:</t>
  </si>
  <si>
    <t xml:space="preserve">4 cans milk maid </t>
  </si>
  <si>
    <t>4 cups water</t>
  </si>
  <si>
    <t>1 cup sugar</t>
  </si>
  <si>
    <t>Total</t>
  </si>
  <si>
    <t>*1 cup water = 237ml = .46 cents</t>
  </si>
  <si>
    <t>*1kg sugar = 5cups</t>
  </si>
  <si>
    <t>Caramel Corto Latte 12oz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</si>
  <si>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</si>
  <si>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Caramel Corto 16oz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</si>
  <si>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</si>
  <si>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liters</t>
  </si>
  <si>
    <t>Salted Caramel Latte 12oz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</si>
  <si>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</si>
  <si>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Salted Caramel Syrup</t>
  </si>
  <si>
    <t>Salted Caramel 16oz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</si>
  <si>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</si>
  <si>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Whipped Cream</t>
  </si>
  <si>
    <t>Cafe Mocha 8oz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</si>
  <si>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</si>
  <si>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Chocolate Sauce</t>
  </si>
  <si>
    <t>*chocolate sauce:</t>
  </si>
  <si>
    <t>6 cups sugar</t>
  </si>
  <si>
    <t>150 grams chocolate bar</t>
  </si>
  <si>
    <t>2 cups cocoa powder</t>
  </si>
  <si>
    <t>2 nestle cream 250ml</t>
  </si>
  <si>
    <t>2 1/4 cups water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</si>
  <si>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</si>
  <si>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Cafe Mocha 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</si>
  <si>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</si>
  <si>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Hot Choco 8oz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</si>
  <si>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</si>
  <si>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Hot Choco 12oz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</si>
  <si>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</si>
  <si>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Iced Choco 16oz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</si>
  <si>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</si>
  <si>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Matcha 8oz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</si>
  <si>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</si>
  <si>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Matcha</t>
  </si>
  <si>
    <t>gram</t>
  </si>
  <si>
    <t>Matcha 12oz HOT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</si>
  <si>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</si>
  <si>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Matcha 12oz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</si>
  <si>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</si>
  <si>
    <t>Matcha 16oz ICED</t>
  </si>
  <si>
    <r>
      <rPr>
        <rFont val="Poppins"/>
        <b/>
        <i/>
        <color theme="1"/>
        <sz val="10.0"/>
      </rPr>
      <t>Unit Conversion</t>
    </r>
    <r>
      <rPr>
        <rFont val="Futura Std Condensed"/>
        <b val="0"/>
        <i/>
        <color theme="1"/>
        <sz val="10.0"/>
      </rPr>
      <t xml:space="preserve"> (How many  "EP Units" make up a "Pack Unit"?)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</si>
</sst>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₱-3409]#,##0.00"/>
    <numFmt numFmtId="165" formatCode="_(&quot;$&quot;* #,##0.00_);_(&quot;$&quot;* \(#,##0.00\);_(&quot;$&quot;* &quot;-&quot;??_);_(@_)"/>
    <numFmt numFmtId="166" formatCode="0.0%"/>
    <numFmt numFmtId="167" formatCode="0.0"/>
    <numFmt numFmtId="168" formatCode="#,##0.0_);[Red]\(#,##0.0\)"/>
    <numFmt numFmtId="169" formatCode="[$₱-3409]#,##0.00;[Red]\-[$₱-3409]#,##0.00"/>
    <numFmt numFmtId="170" formatCode="&quot;$&quot;#,##0.00_);[Red]\(&quot;$&quot;#,##0.00\)"/>
    <numFmt numFmtId="171" formatCode="_(&quot;$&quot;* #,##0.000_);_(&quot;$&quot;* \(#,##0.000\);_(&quot;$&quot;* &quot;-&quot;???_);_(@_)"/>
  </numFmts>
  <fonts count="9">
    <font>
      <sz val="11.0"/>
      <color theme="1"/>
      <name val="Calibri"/>
      <scheme val="minor"/>
    </font>
    <font>
      <b/>
      <sz val="12.0"/>
      <color theme="1"/>
      <name val="Poppins"/>
    </font>
    <font>
      <sz val="12.0"/>
      <color theme="1"/>
      <name val="Poppins"/>
    </font>
    <font/>
    <font>
      <i/>
      <sz val="12.0"/>
      <color theme="1"/>
      <name val="Poppins"/>
    </font>
    <font>
      <b/>
      <i/>
      <sz val="12.0"/>
      <color theme="1"/>
      <name val="Poppins"/>
    </font>
    <font>
      <b/>
      <i/>
      <sz val="10.0"/>
      <color theme="1"/>
      <name val="Poppins"/>
    </font>
    <font>
      <sz val="10.0"/>
      <color theme="1"/>
      <name val="Poppins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46">
    <border/>
    <border>
      <left style="thick">
        <color rgb="FF000000"/>
      </left>
      <right/>
      <top style="thick">
        <color rgb="FF000000"/>
      </top>
      <bottom/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right"/>
    </xf>
    <xf borderId="5" fillId="2" fontId="4" numFmtId="164" xfId="0" applyAlignment="1" applyBorder="1" applyFont="1" applyNumberFormat="1">
      <alignment horizontal="left"/>
    </xf>
    <xf borderId="5" fillId="2" fontId="4" numFmtId="0" xfId="0" applyBorder="1" applyFont="1"/>
    <xf borderId="6" fillId="2" fontId="4" numFmtId="10" xfId="0" applyBorder="1" applyFont="1" applyNumberFormat="1"/>
    <xf borderId="7" fillId="2" fontId="1" numFmtId="0" xfId="0" applyAlignment="1" applyBorder="1" applyFont="1">
      <alignment horizontal="left"/>
    </xf>
    <xf borderId="8" fillId="2" fontId="2" numFmtId="0" xfId="0" applyAlignment="1" applyBorder="1" applyFont="1">
      <alignment horizontal="right"/>
    </xf>
    <xf borderId="8" fillId="2" fontId="2" numFmtId="0" xfId="0" applyAlignment="1" applyBorder="1" applyFont="1">
      <alignment readingOrder="0"/>
    </xf>
    <xf borderId="8" fillId="2" fontId="2" numFmtId="0" xfId="0" applyBorder="1" applyFont="1"/>
    <xf borderId="8" fillId="2" fontId="2" numFmtId="165" xfId="0" applyAlignment="1" applyBorder="1" applyFont="1" applyNumberFormat="1">
      <alignment horizontal="right"/>
    </xf>
    <xf borderId="8" fillId="2" fontId="2" numFmtId="165" xfId="0" applyBorder="1" applyFont="1" applyNumberFormat="1"/>
    <xf borderId="9" fillId="2" fontId="1" numFmtId="0" xfId="0" applyAlignment="1" applyBorder="1" applyFont="1">
      <alignment horizontal="right"/>
    </xf>
    <xf borderId="10" fillId="0" fontId="3" numFmtId="0" xfId="0" applyBorder="1" applyFont="1"/>
    <xf borderId="11" fillId="0" fontId="3" numFmtId="0" xfId="0" applyBorder="1" applyFont="1"/>
    <xf borderId="8" fillId="2" fontId="2" numFmtId="166" xfId="0" applyAlignment="1" applyBorder="1" applyFont="1" applyNumberFormat="1">
      <alignment horizontal="left"/>
    </xf>
    <xf borderId="12" fillId="2" fontId="2" numFmtId="0" xfId="0" applyBorder="1" applyFont="1"/>
    <xf borderId="8" fillId="2" fontId="2" numFmtId="0" xfId="0" applyAlignment="1" applyBorder="1" applyFont="1">
      <alignment horizontal="right" readingOrder="0"/>
    </xf>
    <xf borderId="8" fillId="2" fontId="2" numFmtId="164" xfId="0" applyAlignment="1" applyBorder="1" applyFont="1" applyNumberFormat="1">
      <alignment horizontal="left"/>
    </xf>
    <xf borderId="13" fillId="2" fontId="1" numFmtId="0" xfId="0" applyAlignment="1" applyBorder="1" applyFont="1">
      <alignment horizontal="left"/>
    </xf>
    <xf borderId="14" fillId="2" fontId="2" numFmtId="167" xfId="0" applyAlignment="1" applyBorder="1" applyFont="1" applyNumberFormat="1">
      <alignment horizontal="right"/>
    </xf>
    <xf borderId="14" fillId="2" fontId="2" numFmtId="0" xfId="0" applyBorder="1" applyFont="1"/>
    <xf borderId="14" fillId="2" fontId="2" numFmtId="0" xfId="0" applyAlignment="1" applyBorder="1" applyFont="1">
      <alignment horizontal="right"/>
    </xf>
    <xf borderId="14" fillId="2" fontId="2" numFmtId="0" xfId="0" applyAlignment="1" applyBorder="1" applyFont="1">
      <alignment horizontal="left"/>
    </xf>
    <xf borderId="15" fillId="2" fontId="2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2" fontId="2" numFmtId="0" xfId="0" applyBorder="1" applyFont="1"/>
    <xf borderId="19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3" fillId="0" fontId="5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readingOrder="0"/>
    </xf>
    <xf borderId="24" fillId="0" fontId="7" numFmtId="164" xfId="0" applyAlignment="1" applyBorder="1" applyFont="1" applyNumberFormat="1">
      <alignment horizontal="center" readingOrder="0"/>
    </xf>
    <xf borderId="24" fillId="0" fontId="7" numFmtId="168" xfId="0" applyAlignment="1" applyBorder="1" applyFont="1" applyNumberFormat="1">
      <alignment horizontal="center" readingOrder="0"/>
    </xf>
    <xf borderId="24" fillId="0" fontId="7" numFmtId="0" xfId="0" applyAlignment="1" applyBorder="1" applyFont="1">
      <alignment horizontal="center" readingOrder="0"/>
    </xf>
    <xf borderId="25" fillId="0" fontId="7" numFmtId="1" xfId="0" applyAlignment="1" applyBorder="1" applyFont="1" applyNumberFormat="1">
      <alignment horizontal="center" readingOrder="0"/>
    </xf>
    <xf borderId="26" fillId="3" fontId="7" numFmtId="169" xfId="0" applyAlignment="1" applyBorder="1" applyFill="1" applyFont="1" applyNumberFormat="1">
      <alignment horizontal="right"/>
    </xf>
    <xf borderId="27" fillId="3" fontId="7" numFmtId="170" xfId="0" applyAlignment="1" applyBorder="1" applyFont="1" applyNumberFormat="1">
      <alignment horizontal="center"/>
    </xf>
    <xf borderId="28" fillId="3" fontId="7" numFmtId="0" xfId="0" applyAlignment="1" applyBorder="1" applyFont="1">
      <alignment horizontal="left"/>
    </xf>
    <xf borderId="24" fillId="0" fontId="7" numFmtId="9" xfId="0" applyAlignment="1" applyBorder="1" applyFont="1" applyNumberFormat="1">
      <alignment horizontal="center"/>
    </xf>
    <xf borderId="26" fillId="3" fontId="7" numFmtId="164" xfId="0" applyAlignment="1" applyBorder="1" applyFont="1" applyNumberFormat="1">
      <alignment horizontal="right"/>
    </xf>
    <xf borderId="27" fillId="3" fontId="7" numFmtId="171" xfId="0" applyAlignment="1" applyBorder="1" applyFont="1" applyNumberFormat="1">
      <alignment horizontal="center"/>
    </xf>
    <xf borderId="27" fillId="3" fontId="7" numFmtId="0" xfId="0" applyAlignment="1" applyBorder="1" applyFont="1">
      <alignment horizontal="left"/>
    </xf>
    <xf borderId="25" fillId="2" fontId="2" numFmtId="2" xfId="0" applyAlignment="1" applyBorder="1" applyFont="1" applyNumberFormat="1">
      <alignment horizontal="center"/>
    </xf>
    <xf borderId="25" fillId="2" fontId="2" numFmtId="0" xfId="0" applyAlignment="1" applyBorder="1" applyFont="1">
      <alignment horizontal="center" readingOrder="0"/>
    </xf>
    <xf borderId="29" fillId="3" fontId="7" numFmtId="164" xfId="0" applyAlignment="1" applyBorder="1" applyFont="1" applyNumberFormat="1">
      <alignment horizontal="center"/>
    </xf>
    <xf borderId="25" fillId="2" fontId="2" numFmtId="2" xfId="0" applyAlignment="1" applyBorder="1" applyFont="1" applyNumberFormat="1">
      <alignment horizontal="center" readingOrder="0"/>
    </xf>
    <xf borderId="24" fillId="0" fontId="2" numFmtId="0" xfId="0" applyBorder="1" applyFont="1"/>
    <xf borderId="24" fillId="0" fontId="7" numFmtId="164" xfId="0" applyAlignment="1" applyBorder="1" applyFont="1" applyNumberFormat="1">
      <alignment horizontal="center"/>
    </xf>
    <xf borderId="24" fillId="0" fontId="7" numFmtId="168" xfId="0" applyAlignment="1" applyBorder="1" applyFont="1" applyNumberFormat="1">
      <alignment horizontal="center"/>
    </xf>
    <xf borderId="24" fillId="0" fontId="7" numFmtId="0" xfId="0" applyAlignment="1" applyBorder="1" applyFont="1">
      <alignment horizontal="center"/>
    </xf>
    <xf borderId="25" fillId="0" fontId="7" numFmtId="1" xfId="0" applyAlignment="1" applyBorder="1" applyFont="1" applyNumberFormat="1">
      <alignment horizontal="center"/>
    </xf>
    <xf borderId="25" fillId="2" fontId="2" numFmtId="0" xfId="0" applyAlignment="1" applyBorder="1" applyFont="1">
      <alignment horizontal="center"/>
    </xf>
    <xf borderId="25" fillId="2" fontId="2" numFmtId="167" xfId="0" applyAlignment="1" applyBorder="1" applyFont="1" applyNumberFormat="1">
      <alignment horizontal="center"/>
    </xf>
    <xf borderId="30" fillId="2" fontId="2" numFmtId="167" xfId="0" applyAlignment="1" applyBorder="1" applyFont="1" applyNumberFormat="1">
      <alignment horizontal="center"/>
    </xf>
    <xf borderId="30" fillId="2" fontId="2" numFmtId="0" xfId="0" applyAlignment="1" applyBorder="1" applyFont="1">
      <alignment horizontal="center"/>
    </xf>
    <xf borderId="25" fillId="0" fontId="7" numFmtId="167" xfId="0" applyAlignment="1" applyBorder="1" applyFont="1" applyNumberFormat="1">
      <alignment horizontal="center"/>
    </xf>
    <xf borderId="25" fillId="0" fontId="7" numFmtId="171" xfId="0" applyAlignment="1" applyBorder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31" fillId="0" fontId="7" numFmtId="171" xfId="0" applyAlignment="1" applyBorder="1" applyFont="1" applyNumberFormat="1">
      <alignment horizontal="center"/>
    </xf>
    <xf borderId="32" fillId="0" fontId="7" numFmtId="167" xfId="0" applyAlignment="1" applyBorder="1" applyFont="1" applyNumberFormat="1">
      <alignment horizontal="center"/>
    </xf>
    <xf borderId="31" fillId="0" fontId="2" numFmtId="0" xfId="0" applyBorder="1" applyFont="1"/>
    <xf borderId="31" fillId="0" fontId="7" numFmtId="1" xfId="0" applyAlignment="1" applyBorder="1" applyFont="1" applyNumberFormat="1">
      <alignment horizontal="center"/>
    </xf>
    <xf borderId="33" fillId="3" fontId="7" numFmtId="0" xfId="0" applyAlignment="1" applyBorder="1" applyFont="1">
      <alignment horizontal="left"/>
    </xf>
    <xf borderId="34" fillId="0" fontId="7" numFmtId="171" xfId="0" applyAlignment="1" applyBorder="1" applyFont="1" applyNumberFormat="1">
      <alignment horizontal="center"/>
    </xf>
    <xf borderId="35" fillId="2" fontId="2" numFmtId="9" xfId="0" applyAlignment="1" applyBorder="1" applyFont="1" applyNumberFormat="1">
      <alignment horizontal="right"/>
    </xf>
    <xf borderId="36" fillId="0" fontId="3" numFmtId="0" xfId="0" applyBorder="1" applyFont="1"/>
    <xf borderId="37" fillId="3" fontId="7" numFmtId="164" xfId="0" applyAlignment="1" applyBorder="1" applyFont="1" applyNumberFormat="1">
      <alignment horizontal="center"/>
    </xf>
    <xf borderId="38" fillId="2" fontId="2" numFmtId="9" xfId="0" applyAlignment="1" applyBorder="1" applyFont="1" applyNumberFormat="1">
      <alignment horizontal="right"/>
    </xf>
    <xf borderId="39" fillId="0" fontId="3" numFmtId="0" xfId="0" applyBorder="1" applyFont="1"/>
    <xf borderId="40" fillId="0" fontId="3" numFmtId="0" xfId="0" applyBorder="1" applyFont="1"/>
    <xf borderId="41" fillId="3" fontId="7" numFmtId="164" xfId="0" applyAlignment="1" applyBorder="1" applyFont="1" applyNumberFormat="1">
      <alignment horizontal="center"/>
    </xf>
    <xf borderId="41" fillId="3" fontId="7" numFmtId="166" xfId="0" applyAlignment="1" applyBorder="1" applyFont="1" applyNumberFormat="1">
      <alignment horizontal="center"/>
    </xf>
    <xf borderId="42" fillId="2" fontId="2" numFmtId="9" xfId="0" applyAlignment="1" applyBorder="1" applyFont="1" applyNumberFormat="1">
      <alignment horizontal="right"/>
    </xf>
    <xf borderId="43" fillId="0" fontId="3" numFmtId="0" xfId="0" applyBorder="1" applyFont="1"/>
    <xf borderId="44" fillId="0" fontId="3" numFmtId="0" xfId="0" applyBorder="1" applyFont="1"/>
    <xf borderId="45" fillId="3" fontId="7" numFmtId="164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24" fillId="0" fontId="7" numFmtId="9" xfId="0" applyAlignment="1" applyBorder="1" applyFont="1" applyNumberFormat="1">
      <alignment horizontal="center" readingOrder="0"/>
    </xf>
    <xf borderId="27" fillId="3" fontId="7" numFmtId="0" xfId="0" applyAlignment="1" applyBorder="1" applyFont="1">
      <alignment horizontal="left" readingOrder="0"/>
    </xf>
    <xf borderId="29" fillId="3" fontId="7" numFmtId="164" xfId="0" applyAlignment="1" applyBorder="1" applyFont="1" applyNumberFormat="1">
      <alignment horizontal="center"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14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7" si="1">IF(C6="","",IF(E6="",B6/C6,B6/C6/E6))</f>
        <v>18.9</v>
      </c>
      <c r="G6" s="44" t="str">
        <f t="shared" ref="G6:G7" si="2">IF(A6="","","/")</f>
        <v>/</v>
      </c>
      <c r="H6" s="45" t="str">
        <f t="shared" ref="H6:H7" si="3">IF(N6="","",N6)</f>
        <v>shot</v>
      </c>
      <c r="I6" s="46">
        <v>1.0</v>
      </c>
      <c r="J6" s="47">
        <f t="shared" ref="J6:J7" si="4">IF(F6="","",IF(I6="",F6,F6/I6))</f>
        <v>18.9</v>
      </c>
      <c r="K6" s="48" t="str">
        <f t="shared" ref="K6:K7" si="5">IF(A6="","","/")</f>
        <v>/</v>
      </c>
      <c r="L6" s="49" t="str">
        <f t="shared" ref="L6:L7" si="6">IF(N6="","",N6)</f>
        <v>shot</v>
      </c>
      <c r="M6" s="50">
        <v>1.0</v>
      </c>
      <c r="N6" s="51" t="s">
        <v>23</v>
      </c>
      <c r="O6" s="52">
        <f t="shared" ref="O6:O7" si="7">IF(J6="","", J6*M6)</f>
        <v>18.9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165.0</v>
      </c>
      <c r="N7" s="51" t="s">
        <v>25</v>
      </c>
      <c r="O7" s="52">
        <f t="shared" si="7"/>
        <v>0.3208333333</v>
      </c>
    </row>
    <row r="8">
      <c r="A8" s="54"/>
      <c r="B8" s="55"/>
      <c r="C8" s="56"/>
      <c r="D8" s="57"/>
      <c r="E8" s="58"/>
      <c r="F8" s="43"/>
      <c r="G8" s="44"/>
      <c r="H8" s="45"/>
      <c r="I8" s="46"/>
      <c r="J8" s="47"/>
      <c r="K8" s="48"/>
      <c r="L8" s="49"/>
      <c r="M8" s="50"/>
      <c r="N8" s="59"/>
      <c r="O8" s="52"/>
    </row>
    <row r="9">
      <c r="A9" s="54"/>
      <c r="B9" s="55"/>
      <c r="C9" s="56"/>
      <c r="D9" s="57"/>
      <c r="E9" s="58"/>
      <c r="F9" s="43"/>
      <c r="G9" s="44"/>
      <c r="H9" s="45"/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/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19.22083333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31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32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33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7" si="1">IF(C6="","",IF(E6="",B6/C6,B6/C6/E6))</f>
        <v>18.9</v>
      </c>
      <c r="G6" s="44" t="str">
        <f t="shared" ref="G6:G7" si="2">IF(A6="","","/")</f>
        <v>/</v>
      </c>
      <c r="H6" s="45" t="str">
        <f t="shared" ref="H6:H7" si="3">IF(N6="","",N6)</f>
        <v>shot</v>
      </c>
      <c r="I6" s="46">
        <v>1.0</v>
      </c>
      <c r="J6" s="47">
        <f t="shared" ref="J6:J7" si="4">IF(F6="","",IF(I6="",F6,F6/I6))</f>
        <v>18.9</v>
      </c>
      <c r="K6" s="48" t="str">
        <f t="shared" ref="K6:K7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7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260.0</v>
      </c>
      <c r="N7" s="51" t="s">
        <v>25</v>
      </c>
      <c r="O7" s="52">
        <f t="shared" si="7"/>
        <v>0.5055555556</v>
      </c>
    </row>
    <row r="8">
      <c r="A8" s="54"/>
      <c r="B8" s="55"/>
      <c r="C8" s="56"/>
      <c r="D8" s="57"/>
      <c r="E8" s="58"/>
      <c r="F8" s="43"/>
      <c r="G8" s="44"/>
      <c r="H8" s="45"/>
      <c r="I8" s="46"/>
      <c r="J8" s="47"/>
      <c r="K8" s="48"/>
      <c r="L8" s="49"/>
      <c r="M8" s="50"/>
      <c r="N8" s="59"/>
      <c r="O8" s="52"/>
    </row>
    <row r="9">
      <c r="A9" s="54"/>
      <c r="B9" s="55"/>
      <c r="C9" s="56"/>
      <c r="D9" s="57"/>
      <c r="E9" s="58"/>
      <c r="F9" s="43"/>
      <c r="G9" s="44"/>
      <c r="H9" s="45"/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/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38.30555556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34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35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36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8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8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8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210.0</v>
      </c>
      <c r="N7" s="51" t="s">
        <v>25</v>
      </c>
      <c r="O7" s="52">
        <f t="shared" si="7"/>
        <v>0.4083333333</v>
      </c>
    </row>
    <row r="8">
      <c r="A8" s="38" t="s">
        <v>37</v>
      </c>
      <c r="B8" s="39">
        <v>40.0</v>
      </c>
      <c r="C8" s="40">
        <v>1.0</v>
      </c>
      <c r="D8" s="41" t="s">
        <v>22</v>
      </c>
      <c r="E8" s="42">
        <v>25.0</v>
      </c>
      <c r="F8" s="43">
        <f t="shared" si="1"/>
        <v>1.6</v>
      </c>
      <c r="G8" s="44" t="str">
        <f t="shared" si="2"/>
        <v>/</v>
      </c>
      <c r="H8" s="45" t="str">
        <f t="shared" si="3"/>
        <v>kg</v>
      </c>
      <c r="I8" s="85">
        <v>0.75</v>
      </c>
      <c r="J8" s="47">
        <f t="shared" si="4"/>
        <v>2.133333333</v>
      </c>
      <c r="K8" s="48" t="str">
        <f t="shared" si="5"/>
        <v>/</v>
      </c>
      <c r="L8" s="86" t="s">
        <v>22</v>
      </c>
      <c r="M8" s="53">
        <v>1.0</v>
      </c>
      <c r="N8" s="51" t="s">
        <v>22</v>
      </c>
      <c r="O8" s="52">
        <f t="shared" si="7"/>
        <v>2.133333333</v>
      </c>
    </row>
    <row r="9">
      <c r="A9" s="54"/>
      <c r="B9" s="55"/>
      <c r="C9" s="56"/>
      <c r="D9" s="57"/>
      <c r="E9" s="58"/>
      <c r="F9" s="43"/>
      <c r="G9" s="44" t="str">
        <f t="shared" si="2"/>
        <v/>
      </c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40.34166667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38</v>
      </c>
    </row>
    <row r="43" ht="15.75" customHeight="1">
      <c r="A43" s="84" t="s">
        <v>39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40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41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8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8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1.0</v>
      </c>
      <c r="N6" s="51" t="s">
        <v>23</v>
      </c>
      <c r="O6" s="52">
        <f t="shared" ref="O6:O8" si="7">IF(J6="","", J6*M6)</f>
        <v>18.9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30.0</v>
      </c>
      <c r="N7" s="51" t="s">
        <v>25</v>
      </c>
      <c r="O7" s="52">
        <f t="shared" si="7"/>
        <v>0.05833333333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18.0</v>
      </c>
      <c r="N8" s="51" t="s">
        <v>43</v>
      </c>
      <c r="O8" s="52">
        <f t="shared" si="7"/>
        <v>21.4</v>
      </c>
    </row>
    <row r="9">
      <c r="A9" s="54"/>
      <c r="B9" s="55"/>
      <c r="C9" s="56"/>
      <c r="D9" s="57"/>
      <c r="E9" s="58"/>
      <c r="F9" s="43"/>
      <c r="G9" s="44" t="str">
        <f t="shared" si="2"/>
        <v/>
      </c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40.35833333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45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46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8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8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8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20.0</v>
      </c>
      <c r="N8" s="51" t="s">
        <v>43</v>
      </c>
      <c r="O8" s="52">
        <f t="shared" si="7"/>
        <v>23.77777778</v>
      </c>
    </row>
    <row r="9">
      <c r="A9" s="54"/>
      <c r="B9" s="55"/>
      <c r="C9" s="56"/>
      <c r="D9" s="57"/>
      <c r="E9" s="58"/>
      <c r="F9" s="43"/>
      <c r="G9" s="44" t="str">
        <f t="shared" si="2"/>
        <v/>
      </c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61.69444444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47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48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9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9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10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22.5</v>
      </c>
      <c r="N8" s="51" t="s">
        <v>43</v>
      </c>
      <c r="O8" s="52">
        <f t="shared" si="7"/>
        <v>26.75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/>
      <c r="L9" s="86" t="s">
        <v>22</v>
      </c>
      <c r="M9" s="53">
        <v>1.0</v>
      </c>
      <c r="N9" s="51" t="s">
        <v>22</v>
      </c>
      <c r="O9" s="52">
        <f t="shared" si="7"/>
        <v>2.133333333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3"/>
      <c r="N10" s="59"/>
      <c r="O10" s="52" t="str">
        <f t="shared" si="7"/>
        <v/>
      </c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66.8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39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49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50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8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8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1.0</v>
      </c>
      <c r="N6" s="51" t="s">
        <v>23</v>
      </c>
      <c r="O6" s="52">
        <f t="shared" ref="O6:O8" si="7">IF(J6="","", J6*M6)</f>
        <v>18.9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30.0</v>
      </c>
      <c r="N7" s="51" t="s">
        <v>25</v>
      </c>
      <c r="O7" s="52">
        <f t="shared" si="7"/>
        <v>0.05833333333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18.0</v>
      </c>
      <c r="N8" s="51" t="s">
        <v>43</v>
      </c>
      <c r="O8" s="52">
        <f t="shared" si="7"/>
        <v>21.4</v>
      </c>
    </row>
    <row r="9">
      <c r="A9" s="38" t="s">
        <v>51</v>
      </c>
      <c r="B9" s="39">
        <v>60.0</v>
      </c>
      <c r="C9" s="40">
        <v>3.0</v>
      </c>
      <c r="D9" s="41" t="s">
        <v>52</v>
      </c>
      <c r="E9" s="58"/>
      <c r="F9" s="43"/>
      <c r="G9" s="44" t="str">
        <f t="shared" si="2"/>
        <v>/</v>
      </c>
      <c r="H9" s="45" t="str">
        <f t="shared" si="3"/>
        <v/>
      </c>
      <c r="I9" s="46"/>
      <c r="J9" s="47"/>
      <c r="K9" s="48"/>
      <c r="L9" s="49"/>
      <c r="M9" s="50"/>
      <c r="N9" s="59"/>
      <c r="O9" s="87">
        <v>1.0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41.35833333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53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54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8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8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8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20.0</v>
      </c>
      <c r="N8" s="51" t="s">
        <v>43</v>
      </c>
      <c r="O8" s="52">
        <f t="shared" si="7"/>
        <v>23.77777778</v>
      </c>
    </row>
    <row r="9">
      <c r="A9" s="38" t="s">
        <v>51</v>
      </c>
      <c r="B9" s="39">
        <v>60.0</v>
      </c>
      <c r="C9" s="40">
        <v>3.0</v>
      </c>
      <c r="D9" s="41" t="s">
        <v>52</v>
      </c>
      <c r="E9" s="58"/>
      <c r="F9" s="43"/>
      <c r="G9" s="44" t="str">
        <f t="shared" si="2"/>
        <v>/</v>
      </c>
      <c r="H9" s="45" t="str">
        <f t="shared" si="3"/>
        <v/>
      </c>
      <c r="I9" s="46"/>
      <c r="J9" s="47"/>
      <c r="K9" s="48"/>
      <c r="L9" s="49"/>
      <c r="M9" s="50"/>
      <c r="N9" s="59"/>
      <c r="O9" s="87">
        <v>1.0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62.69444444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55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56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9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9" si="4">IF(F6="","",IF(I6="",F6,F6/I6))</f>
        <v>18.9</v>
      </c>
      <c r="K6" s="48" t="str">
        <f t="shared" ref="K6:K8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9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22.5</v>
      </c>
      <c r="N8" s="51" t="s">
        <v>43</v>
      </c>
      <c r="O8" s="52">
        <f t="shared" si="7"/>
        <v>26.75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/>
      <c r="L9" s="86" t="s">
        <v>22</v>
      </c>
      <c r="M9" s="53">
        <v>1.0</v>
      </c>
      <c r="N9" s="51" t="s">
        <v>22</v>
      </c>
      <c r="O9" s="52">
        <f t="shared" si="7"/>
        <v>2.133333333</v>
      </c>
    </row>
    <row r="10">
      <c r="A10" s="38" t="s">
        <v>51</v>
      </c>
      <c r="B10" s="39">
        <v>60.0</v>
      </c>
      <c r="C10" s="40">
        <v>3.0</v>
      </c>
      <c r="D10" s="41" t="s">
        <v>52</v>
      </c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3"/>
      <c r="N10" s="59"/>
      <c r="O10" s="87">
        <v>1.0</v>
      </c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67.8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39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57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58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9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9" si="4">IF(F6="","",IF(I6="",F6,F6/I6))</f>
        <v>18.9</v>
      </c>
      <c r="K6" s="48" t="str">
        <f t="shared" ref="K6:K9" si="5">IF(A6="","","/")</f>
        <v>/</v>
      </c>
      <c r="L6" s="49" t="str">
        <f t="shared" ref="L6:L7" si="6">IF(N6="","",N6)</f>
        <v>shot</v>
      </c>
      <c r="M6" s="53">
        <v>1.0</v>
      </c>
      <c r="N6" s="51" t="s">
        <v>23</v>
      </c>
      <c r="O6" s="52">
        <f t="shared" ref="O6:O9" si="7">IF(J6="","", J6*M6)</f>
        <v>18.9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30.0</v>
      </c>
      <c r="N7" s="51" t="s">
        <v>25</v>
      </c>
      <c r="O7" s="52">
        <f t="shared" si="7"/>
        <v>0.05833333333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18.0</v>
      </c>
      <c r="N8" s="51" t="s">
        <v>43</v>
      </c>
      <c r="O8" s="52">
        <f t="shared" si="7"/>
        <v>21.4</v>
      </c>
    </row>
    <row r="9">
      <c r="A9" s="38" t="s">
        <v>59</v>
      </c>
      <c r="B9" s="39">
        <v>451.64</v>
      </c>
      <c r="C9" s="41">
        <v>1.35</v>
      </c>
      <c r="D9" s="41" t="s">
        <v>43</v>
      </c>
      <c r="E9" s="42">
        <v>1350.0</v>
      </c>
      <c r="F9" s="43">
        <f t="shared" si="1"/>
        <v>0.2478134431</v>
      </c>
      <c r="G9" s="44" t="str">
        <f t="shared" si="2"/>
        <v>/</v>
      </c>
      <c r="H9" s="45" t="str">
        <f t="shared" si="3"/>
        <v>ml</v>
      </c>
      <c r="I9" s="85">
        <v>0.9</v>
      </c>
      <c r="J9" s="47">
        <f t="shared" si="4"/>
        <v>0.2753482701</v>
      </c>
      <c r="K9" s="48" t="str">
        <f t="shared" si="5"/>
        <v>/</v>
      </c>
      <c r="L9" s="86" t="s">
        <v>25</v>
      </c>
      <c r="M9" s="53">
        <v>20.0</v>
      </c>
      <c r="N9" s="51" t="s">
        <v>25</v>
      </c>
      <c r="O9" s="52">
        <f t="shared" si="7"/>
        <v>5.506965402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1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45.86529873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60</v>
      </c>
    </row>
    <row r="44" ht="15.75" customHeight="1">
      <c r="A44" s="84" t="s">
        <v>61</v>
      </c>
      <c r="B44" s="84">
        <v>430.0</v>
      </c>
    </row>
    <row r="45" ht="15.75" customHeight="1">
      <c r="A45" s="84" t="s">
        <v>62</v>
      </c>
      <c r="B45" s="84">
        <v>1.84</v>
      </c>
    </row>
    <row r="46" ht="15.75" customHeight="1">
      <c r="A46" s="84" t="s">
        <v>63</v>
      </c>
      <c r="B46" s="84">
        <v>19.8</v>
      </c>
    </row>
    <row r="47" ht="15.75" customHeight="1">
      <c r="A47" s="84" t="s">
        <v>64</v>
      </c>
      <c r="B47" s="88">
        <f>SUM(B44:B46)</f>
        <v>451.64</v>
      </c>
    </row>
    <row r="48" ht="15.75" customHeight="1">
      <c r="A48" s="84"/>
    </row>
    <row r="49" ht="15.75" customHeight="1">
      <c r="A49" s="84" t="s">
        <v>65</v>
      </c>
    </row>
    <row r="50" ht="15.75" customHeight="1">
      <c r="A50" s="84" t="s">
        <v>66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67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68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9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9" si="4">IF(F6="","",IF(I6="",F6,F6/I6))</f>
        <v>18.9</v>
      </c>
      <c r="K6" s="48" t="str">
        <f t="shared" ref="K6:K9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9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20.0</v>
      </c>
      <c r="N8" s="51" t="s">
        <v>43</v>
      </c>
      <c r="O8" s="52">
        <f t="shared" si="7"/>
        <v>23.77777778</v>
      </c>
    </row>
    <row r="9">
      <c r="A9" s="38" t="s">
        <v>59</v>
      </c>
      <c r="B9" s="39">
        <v>451.64</v>
      </c>
      <c r="C9" s="41">
        <v>1.35</v>
      </c>
      <c r="D9" s="41" t="s">
        <v>43</v>
      </c>
      <c r="E9" s="42">
        <v>1350.0</v>
      </c>
      <c r="F9" s="43">
        <f t="shared" si="1"/>
        <v>0.2478134431</v>
      </c>
      <c r="G9" s="44" t="str">
        <f t="shared" si="2"/>
        <v>/</v>
      </c>
      <c r="H9" s="45" t="str">
        <f t="shared" si="3"/>
        <v>ml</v>
      </c>
      <c r="I9" s="85">
        <v>0.9</v>
      </c>
      <c r="J9" s="47">
        <f t="shared" si="4"/>
        <v>0.2753482701</v>
      </c>
      <c r="K9" s="48" t="str">
        <f t="shared" si="5"/>
        <v>/</v>
      </c>
      <c r="L9" s="86" t="s">
        <v>25</v>
      </c>
      <c r="M9" s="53">
        <v>30.0</v>
      </c>
      <c r="N9" s="51" t="s">
        <v>25</v>
      </c>
      <c r="O9" s="52">
        <f t="shared" si="7"/>
        <v>8.260448102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1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69.95489255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60</v>
      </c>
    </row>
    <row r="44" ht="15.75" customHeight="1">
      <c r="A44" s="84" t="s">
        <v>61</v>
      </c>
      <c r="B44" s="84">
        <v>430.0</v>
      </c>
    </row>
    <row r="45" ht="15.75" customHeight="1">
      <c r="A45" s="84" t="s">
        <v>62</v>
      </c>
      <c r="B45" s="84">
        <v>1.84</v>
      </c>
    </row>
    <row r="46" ht="15.75" customHeight="1">
      <c r="A46" s="84" t="s">
        <v>63</v>
      </c>
      <c r="B46" s="84">
        <v>19.8</v>
      </c>
    </row>
    <row r="47" ht="15.75" customHeight="1">
      <c r="A47" s="84" t="s">
        <v>64</v>
      </c>
      <c r="B47" s="88">
        <f>SUM(B44:B46)</f>
        <v>451.64</v>
      </c>
    </row>
    <row r="48" ht="15.75" customHeight="1">
      <c r="A48" s="84"/>
    </row>
    <row r="49" ht="15.75" customHeight="1">
      <c r="A49" s="84" t="s">
        <v>65</v>
      </c>
    </row>
    <row r="50" ht="15.75" customHeight="1">
      <c r="A50" s="84" t="s">
        <v>66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69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70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10" si="1">IF(C6="","",IF(E6="",B6/C6,B6/C6/E6))</f>
        <v>18.9</v>
      </c>
      <c r="G6" s="44" t="str">
        <f t="shared" ref="G6:G11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10" si="4">IF(F6="","",IF(I6="",F6,F6/I6))</f>
        <v>18.9</v>
      </c>
      <c r="K6" s="48" t="str">
        <f t="shared" ref="K6:K10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11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22.5</v>
      </c>
      <c r="N8" s="51" t="s">
        <v>43</v>
      </c>
      <c r="O8" s="52">
        <f t="shared" si="7"/>
        <v>26.75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 t="str">
        <f t="shared" si="5"/>
        <v>/</v>
      </c>
      <c r="L9" s="86" t="s">
        <v>22</v>
      </c>
      <c r="M9" s="53">
        <v>1.0</v>
      </c>
      <c r="N9" s="51" t="s">
        <v>22</v>
      </c>
      <c r="O9" s="52">
        <f t="shared" si="7"/>
        <v>2.133333333</v>
      </c>
    </row>
    <row r="10">
      <c r="A10" s="38" t="s">
        <v>59</v>
      </c>
      <c r="B10" s="39">
        <v>451.64</v>
      </c>
      <c r="C10" s="40">
        <v>1.35</v>
      </c>
      <c r="D10" s="41" t="s">
        <v>71</v>
      </c>
      <c r="E10" s="42">
        <v>1350.0</v>
      </c>
      <c r="F10" s="43">
        <f t="shared" si="1"/>
        <v>0.2478134431</v>
      </c>
      <c r="G10" s="44" t="str">
        <f t="shared" si="2"/>
        <v>/</v>
      </c>
      <c r="H10" s="45" t="str">
        <f t="shared" si="3"/>
        <v>ml</v>
      </c>
      <c r="I10" s="85">
        <v>0.9</v>
      </c>
      <c r="J10" s="47">
        <f t="shared" si="4"/>
        <v>0.2753482701</v>
      </c>
      <c r="K10" s="48" t="str">
        <f t="shared" si="5"/>
        <v>/</v>
      </c>
      <c r="L10" s="86" t="s">
        <v>25</v>
      </c>
      <c r="M10" s="53">
        <v>30.0</v>
      </c>
      <c r="N10" s="51" t="s">
        <v>25</v>
      </c>
      <c r="O10" s="52">
        <f t="shared" si="7"/>
        <v>8.260448102</v>
      </c>
    </row>
    <row r="11">
      <c r="A11" s="54"/>
      <c r="B11" s="55"/>
      <c r="C11" s="56"/>
      <c r="D11" s="57"/>
      <c r="E11" s="58"/>
      <c r="F11" s="43"/>
      <c r="G11" s="44" t="str">
        <f t="shared" si="2"/>
        <v/>
      </c>
      <c r="H11" s="45" t="str">
        <f t="shared" si="3"/>
        <v/>
      </c>
      <c r="I11" s="46"/>
      <c r="J11" s="47"/>
      <c r="K11" s="48"/>
      <c r="L11" s="49"/>
      <c r="M11" s="50"/>
      <c r="N11" s="59"/>
      <c r="O11" s="52" t="str">
        <f t="shared" si="7"/>
        <v/>
      </c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75.0604481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39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72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73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9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9" si="4">IF(F6="","",IF(I6="",F6,F6/I6))</f>
        <v>18.9</v>
      </c>
      <c r="K6" s="48" t="str">
        <f t="shared" ref="K6:K9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9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20.0</v>
      </c>
      <c r="N8" s="51" t="s">
        <v>43</v>
      </c>
      <c r="O8" s="52">
        <f t="shared" si="7"/>
        <v>23.77777778</v>
      </c>
    </row>
    <row r="9">
      <c r="A9" s="38" t="s">
        <v>74</v>
      </c>
      <c r="B9" s="39">
        <v>550.0</v>
      </c>
      <c r="C9" s="41">
        <v>750.0</v>
      </c>
      <c r="D9" s="41" t="s">
        <v>25</v>
      </c>
      <c r="E9" s="42">
        <v>1.0</v>
      </c>
      <c r="F9" s="43">
        <f t="shared" si="1"/>
        <v>0.7333333333</v>
      </c>
      <c r="G9" s="44" t="str">
        <f t="shared" si="2"/>
        <v>/</v>
      </c>
      <c r="H9" s="45" t="str">
        <f t="shared" si="3"/>
        <v>ml</v>
      </c>
      <c r="I9" s="85">
        <v>0.9</v>
      </c>
      <c r="J9" s="47">
        <f t="shared" si="4"/>
        <v>0.8148148148</v>
      </c>
      <c r="K9" s="48" t="str">
        <f t="shared" si="5"/>
        <v>/</v>
      </c>
      <c r="L9" s="86" t="s">
        <v>25</v>
      </c>
      <c r="M9" s="53">
        <v>30.0</v>
      </c>
      <c r="N9" s="51" t="s">
        <v>25</v>
      </c>
      <c r="O9" s="52">
        <f t="shared" si="7"/>
        <v>24.44444444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1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86.13888889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75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76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10" si="1">IF(C6="","",IF(E6="",B6/C6,B6/C6/E6))</f>
        <v>18.9</v>
      </c>
      <c r="G6" s="44" t="str">
        <f t="shared" ref="G6:G10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10" si="4">IF(F6="","",IF(I6="",F6,F6/I6))</f>
        <v>18.9</v>
      </c>
      <c r="K6" s="48" t="str">
        <f t="shared" ref="K6:K10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10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22.5</v>
      </c>
      <c r="N8" s="51" t="s">
        <v>43</v>
      </c>
      <c r="O8" s="52">
        <f t="shared" si="7"/>
        <v>26.75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 t="str">
        <f t="shared" si="5"/>
        <v>/</v>
      </c>
      <c r="L9" s="86" t="s">
        <v>22</v>
      </c>
      <c r="M9" s="53">
        <v>1.0</v>
      </c>
      <c r="N9" s="51" t="s">
        <v>22</v>
      </c>
      <c r="O9" s="52">
        <f t="shared" si="7"/>
        <v>2.133333333</v>
      </c>
    </row>
    <row r="10">
      <c r="A10" s="38" t="s">
        <v>74</v>
      </c>
      <c r="B10" s="39">
        <v>550.0</v>
      </c>
      <c r="C10" s="40">
        <v>750.0</v>
      </c>
      <c r="D10" s="41" t="s">
        <v>25</v>
      </c>
      <c r="E10" s="42">
        <v>1.0</v>
      </c>
      <c r="F10" s="43">
        <f t="shared" si="1"/>
        <v>0.7333333333</v>
      </c>
      <c r="G10" s="44" t="str">
        <f t="shared" si="2"/>
        <v>/</v>
      </c>
      <c r="H10" s="45" t="str">
        <f t="shared" si="3"/>
        <v>ml</v>
      </c>
      <c r="I10" s="85">
        <v>0.9</v>
      </c>
      <c r="J10" s="47">
        <f t="shared" si="4"/>
        <v>0.8148148148</v>
      </c>
      <c r="K10" s="48" t="str">
        <f t="shared" si="5"/>
        <v>/</v>
      </c>
      <c r="L10" s="86" t="s">
        <v>25</v>
      </c>
      <c r="M10" s="53">
        <v>30.0</v>
      </c>
      <c r="N10" s="51" t="s">
        <v>25</v>
      </c>
      <c r="O10" s="52">
        <f t="shared" si="7"/>
        <v>24.44444444</v>
      </c>
    </row>
    <row r="11">
      <c r="A11" s="38" t="s">
        <v>77</v>
      </c>
      <c r="B11" s="39">
        <v>225.0</v>
      </c>
      <c r="C11" s="40">
        <v>1030.0</v>
      </c>
      <c r="D11" s="41" t="s">
        <v>52</v>
      </c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3"/>
      <c r="N11" s="51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91.24444444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39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78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79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7" si="1">IF(C6="","",IF(E6="",B6/C6,B6/C6/E6))</f>
        <v>1.07</v>
      </c>
      <c r="G6" s="44" t="str">
        <f t="shared" ref="G6:G7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7" si="4">IF(F6="","",IF(I6="",F6,F6/I6))</f>
        <v>1.188888889</v>
      </c>
      <c r="K6" s="48" t="str">
        <f t="shared" ref="K6:K7" si="5">IF(A6="","","/")</f>
        <v>/</v>
      </c>
      <c r="L6" s="49" t="str">
        <f>IF(N6="","",N6)</f>
        <v>liter</v>
      </c>
      <c r="M6" s="53">
        <v>18.0</v>
      </c>
      <c r="N6" s="51" t="s">
        <v>43</v>
      </c>
      <c r="O6" s="52">
        <f t="shared" ref="O6:O7" si="6">IF(J6="","", J6*M6)</f>
        <v>21.4</v>
      </c>
    </row>
    <row r="7">
      <c r="A7" s="38" t="s">
        <v>80</v>
      </c>
      <c r="B7" s="39">
        <v>490.44</v>
      </c>
      <c r="C7" s="41">
        <v>1.35</v>
      </c>
      <c r="D7" s="41" t="s">
        <v>43</v>
      </c>
      <c r="E7" s="42">
        <v>1350.0</v>
      </c>
      <c r="F7" s="43">
        <f t="shared" si="1"/>
        <v>0.2691028807</v>
      </c>
      <c r="G7" s="44" t="str">
        <f t="shared" si="2"/>
        <v>/</v>
      </c>
      <c r="H7" s="45" t="str">
        <f t="shared" si="3"/>
        <v>ml</v>
      </c>
      <c r="I7" s="85">
        <v>0.9</v>
      </c>
      <c r="J7" s="47">
        <f t="shared" si="4"/>
        <v>0.2990032007</v>
      </c>
      <c r="K7" s="48" t="str">
        <f t="shared" si="5"/>
        <v>/</v>
      </c>
      <c r="L7" s="86" t="s">
        <v>25</v>
      </c>
      <c r="M7" s="53">
        <v>20.0</v>
      </c>
      <c r="N7" s="51" t="s">
        <v>25</v>
      </c>
      <c r="O7" s="52">
        <f t="shared" si="6"/>
        <v>5.980064015</v>
      </c>
    </row>
    <row r="8">
      <c r="A8" s="54"/>
      <c r="B8" s="55"/>
      <c r="C8" s="56"/>
      <c r="D8" s="57"/>
      <c r="E8" s="58"/>
      <c r="F8" s="43"/>
      <c r="G8" s="44"/>
      <c r="H8" s="45" t="str">
        <f t="shared" si="3"/>
        <v/>
      </c>
      <c r="I8" s="46"/>
      <c r="J8" s="47"/>
      <c r="K8" s="48"/>
      <c r="L8" s="49"/>
      <c r="M8" s="50"/>
      <c r="N8" s="51"/>
      <c r="O8" s="52"/>
    </row>
    <row r="9">
      <c r="A9" s="54"/>
      <c r="B9" s="55"/>
      <c r="C9" s="56"/>
      <c r="D9" s="57"/>
      <c r="E9" s="58"/>
      <c r="F9" s="43"/>
      <c r="G9" s="44"/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27.38006401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>
      <c r="A41" s="84" t="s">
        <v>81</v>
      </c>
    </row>
    <row r="42" ht="15.75" customHeight="1">
      <c r="A42" s="84" t="s">
        <v>82</v>
      </c>
      <c r="B42" s="84">
        <v>118.8</v>
      </c>
    </row>
    <row r="43" ht="15.75" customHeight="1">
      <c r="A43" s="84" t="s">
        <v>83</v>
      </c>
      <c r="B43" s="84">
        <v>48.6</v>
      </c>
    </row>
    <row r="44" ht="15.75" customHeight="1">
      <c r="A44" s="84" t="s">
        <v>84</v>
      </c>
      <c r="B44" s="84">
        <v>186.0</v>
      </c>
    </row>
    <row r="45" ht="15.75" customHeight="1">
      <c r="A45" s="84" t="s">
        <v>85</v>
      </c>
      <c r="B45" s="84">
        <v>136.0</v>
      </c>
    </row>
    <row r="46" ht="15.75" customHeight="1">
      <c r="A46" s="84" t="s">
        <v>86</v>
      </c>
      <c r="B46" s="84">
        <v>1.04</v>
      </c>
    </row>
    <row r="47" ht="15.75" customHeight="1">
      <c r="A47" s="84" t="s">
        <v>64</v>
      </c>
      <c r="B47" s="88">
        <f>SUM(B42:B46)</f>
        <v>490.44</v>
      </c>
    </row>
    <row r="48" ht="15.75" customHeight="1">
      <c r="A48" s="84"/>
    </row>
    <row r="49" ht="15.75" customHeight="1">
      <c r="A49" s="84" t="s">
        <v>65</v>
      </c>
    </row>
    <row r="50" ht="15.75" customHeight="1">
      <c r="A50" s="84" t="s">
        <v>66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78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87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9" si="1">IF(C6="","",IF(E6="",B6/C6,B6/C6/E6))</f>
        <v>18.9</v>
      </c>
      <c r="G6" s="44" t="str">
        <f t="shared" ref="G6:G9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9" si="4">IF(F6="","",IF(I6="",F6,F6/I6))</f>
        <v>18.9</v>
      </c>
      <c r="K6" s="48" t="str">
        <f t="shared" ref="K6:K9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9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20.0</v>
      </c>
      <c r="N8" s="51" t="s">
        <v>43</v>
      </c>
      <c r="O8" s="52">
        <f t="shared" si="7"/>
        <v>23.77777778</v>
      </c>
    </row>
    <row r="9">
      <c r="A9" s="38" t="s">
        <v>80</v>
      </c>
      <c r="B9" s="39">
        <v>490.44</v>
      </c>
      <c r="C9" s="41">
        <v>1.35</v>
      </c>
      <c r="D9" s="41" t="s">
        <v>43</v>
      </c>
      <c r="E9" s="42">
        <v>1350.0</v>
      </c>
      <c r="F9" s="43">
        <f t="shared" si="1"/>
        <v>0.2691028807</v>
      </c>
      <c r="G9" s="44" t="str">
        <f t="shared" si="2"/>
        <v>/</v>
      </c>
      <c r="H9" s="45" t="str">
        <f t="shared" si="3"/>
        <v>ml</v>
      </c>
      <c r="I9" s="85">
        <v>0.9</v>
      </c>
      <c r="J9" s="47">
        <f t="shared" si="4"/>
        <v>0.2990032007</v>
      </c>
      <c r="K9" s="48" t="str">
        <f t="shared" si="5"/>
        <v>/</v>
      </c>
      <c r="L9" s="86" t="s">
        <v>25</v>
      </c>
      <c r="M9" s="53">
        <v>30.0</v>
      </c>
      <c r="N9" s="51" t="s">
        <v>25</v>
      </c>
      <c r="O9" s="52">
        <f t="shared" si="7"/>
        <v>8.970096022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1"/>
      <c r="O10" s="52"/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70.66454047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81</v>
      </c>
    </row>
    <row r="44" ht="15.75" customHeight="1">
      <c r="A44" s="84" t="s">
        <v>82</v>
      </c>
      <c r="B44" s="84">
        <v>118.8</v>
      </c>
    </row>
    <row r="45" ht="15.75" customHeight="1">
      <c r="A45" s="84" t="s">
        <v>83</v>
      </c>
      <c r="B45" s="84">
        <v>48.6</v>
      </c>
    </row>
    <row r="46" ht="15.75" customHeight="1">
      <c r="A46" s="84" t="s">
        <v>84</v>
      </c>
      <c r="B46" s="84">
        <v>186.0</v>
      </c>
    </row>
    <row r="47" ht="15.75" customHeight="1">
      <c r="A47" s="84" t="s">
        <v>85</v>
      </c>
      <c r="B47" s="84">
        <v>136.0</v>
      </c>
    </row>
    <row r="48" ht="15.75" customHeight="1">
      <c r="A48" s="84" t="s">
        <v>86</v>
      </c>
      <c r="B48" s="84">
        <v>1.04</v>
      </c>
    </row>
    <row r="49" ht="15.75" customHeight="1">
      <c r="A49" s="84" t="s">
        <v>64</v>
      </c>
      <c r="B49" s="88">
        <f>SUM(B44:B48)</f>
        <v>490.44</v>
      </c>
    </row>
    <row r="50" ht="15.75" customHeight="1">
      <c r="A50" s="84"/>
    </row>
    <row r="51" ht="15.75" customHeight="1">
      <c r="A51" s="84" t="s">
        <v>65</v>
      </c>
    </row>
    <row r="52" ht="15.75" customHeight="1">
      <c r="A52" s="84" t="s">
        <v>66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88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89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21</v>
      </c>
      <c r="B6" s="39">
        <v>945.0</v>
      </c>
      <c r="C6" s="40">
        <v>1.0</v>
      </c>
      <c r="D6" s="41" t="s">
        <v>22</v>
      </c>
      <c r="E6" s="42">
        <v>50.0</v>
      </c>
      <c r="F6" s="43">
        <f t="shared" ref="F6:F10" si="1">IF(C6="","",IF(E6="",B6/C6,B6/C6/E6))</f>
        <v>18.9</v>
      </c>
      <c r="G6" s="44" t="str">
        <f t="shared" ref="G6:G10" si="2">IF(A6="","","/")</f>
        <v>/</v>
      </c>
      <c r="H6" s="45" t="str">
        <f t="shared" ref="H6:H12" si="3">IF(N6="","",N6)</f>
        <v>shot</v>
      </c>
      <c r="I6" s="46">
        <v>1.0</v>
      </c>
      <c r="J6" s="47">
        <f t="shared" ref="J6:J10" si="4">IF(F6="","",IF(I6="",F6,F6/I6))</f>
        <v>18.9</v>
      </c>
      <c r="K6" s="48" t="str">
        <f t="shared" ref="K6:K10" si="5">IF(A6="","","/")</f>
        <v>/</v>
      </c>
      <c r="L6" s="49" t="str">
        <f t="shared" ref="L6:L7" si="6">IF(N6="","",N6)</f>
        <v>shot</v>
      </c>
      <c r="M6" s="53">
        <v>2.0</v>
      </c>
      <c r="N6" s="51" t="s">
        <v>23</v>
      </c>
      <c r="O6" s="52">
        <f t="shared" ref="O6:O10" si="7">IF(J6="","", J6*M6)</f>
        <v>37.8</v>
      </c>
    </row>
    <row r="7">
      <c r="A7" s="38" t="s">
        <v>24</v>
      </c>
      <c r="B7" s="39">
        <v>35.0</v>
      </c>
      <c r="C7" s="40">
        <v>1.0</v>
      </c>
      <c r="D7" s="41" t="s">
        <v>25</v>
      </c>
      <c r="E7" s="42">
        <v>20000.0</v>
      </c>
      <c r="F7" s="43">
        <f t="shared" si="1"/>
        <v>0.00175</v>
      </c>
      <c r="G7" s="44" t="str">
        <f t="shared" si="2"/>
        <v>/</v>
      </c>
      <c r="H7" s="45" t="str">
        <f t="shared" si="3"/>
        <v>ml</v>
      </c>
      <c r="I7" s="46">
        <v>0.9</v>
      </c>
      <c r="J7" s="47">
        <f t="shared" si="4"/>
        <v>0.001944444444</v>
      </c>
      <c r="K7" s="48" t="str">
        <f t="shared" si="5"/>
        <v>/</v>
      </c>
      <c r="L7" s="49" t="str">
        <f t="shared" si="6"/>
        <v>ml</v>
      </c>
      <c r="M7" s="53">
        <v>60.0</v>
      </c>
      <c r="N7" s="51" t="s">
        <v>25</v>
      </c>
      <c r="O7" s="52">
        <f t="shared" si="7"/>
        <v>0.1166666667</v>
      </c>
    </row>
    <row r="8">
      <c r="A8" s="38" t="s">
        <v>42</v>
      </c>
      <c r="B8" s="39">
        <v>107.0</v>
      </c>
      <c r="C8" s="40">
        <v>1.0</v>
      </c>
      <c r="D8" s="41" t="s">
        <v>43</v>
      </c>
      <c r="E8" s="42">
        <v>100.0</v>
      </c>
      <c r="F8" s="43">
        <f t="shared" si="1"/>
        <v>1.07</v>
      </c>
      <c r="G8" s="44" t="str">
        <f t="shared" si="2"/>
        <v>/</v>
      </c>
      <c r="H8" s="45" t="str">
        <f t="shared" si="3"/>
        <v>liter</v>
      </c>
      <c r="I8" s="85">
        <v>0.9</v>
      </c>
      <c r="J8" s="47">
        <f t="shared" si="4"/>
        <v>1.188888889</v>
      </c>
      <c r="K8" s="48" t="str">
        <f t="shared" si="5"/>
        <v>/</v>
      </c>
      <c r="L8" s="86" t="s">
        <v>43</v>
      </c>
      <c r="M8" s="53">
        <v>22.5</v>
      </c>
      <c r="N8" s="51" t="s">
        <v>43</v>
      </c>
      <c r="O8" s="52">
        <f t="shared" si="7"/>
        <v>26.75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 t="str">
        <f t="shared" si="5"/>
        <v>/</v>
      </c>
      <c r="L9" s="86" t="s">
        <v>22</v>
      </c>
      <c r="M9" s="53">
        <v>1.0</v>
      </c>
      <c r="N9" s="51" t="s">
        <v>22</v>
      </c>
      <c r="O9" s="52">
        <f t="shared" si="7"/>
        <v>2.133333333</v>
      </c>
    </row>
    <row r="10">
      <c r="A10" s="38" t="s">
        <v>80</v>
      </c>
      <c r="B10" s="39">
        <v>490.44</v>
      </c>
      <c r="C10" s="40">
        <v>1.35</v>
      </c>
      <c r="D10" s="41" t="s">
        <v>43</v>
      </c>
      <c r="E10" s="42">
        <v>1350.0</v>
      </c>
      <c r="F10" s="43">
        <f t="shared" si="1"/>
        <v>0.2691028807</v>
      </c>
      <c r="G10" s="44" t="str">
        <f t="shared" si="2"/>
        <v>/</v>
      </c>
      <c r="H10" s="45" t="str">
        <f t="shared" si="3"/>
        <v>ml</v>
      </c>
      <c r="I10" s="85">
        <v>0.9</v>
      </c>
      <c r="J10" s="47">
        <f t="shared" si="4"/>
        <v>0.2990032007</v>
      </c>
      <c r="K10" s="48" t="str">
        <f t="shared" si="5"/>
        <v>/</v>
      </c>
      <c r="L10" s="86" t="s">
        <v>25</v>
      </c>
      <c r="M10" s="53">
        <v>30.0</v>
      </c>
      <c r="N10" s="51" t="s">
        <v>25</v>
      </c>
      <c r="O10" s="52">
        <f t="shared" si="7"/>
        <v>8.970096022</v>
      </c>
    </row>
    <row r="11">
      <c r="A11" s="54"/>
      <c r="B11" s="55"/>
      <c r="C11" s="56"/>
      <c r="D11" s="57"/>
      <c r="E11" s="58"/>
      <c r="F11" s="43"/>
      <c r="G11" s="44"/>
      <c r="H11" s="45" t="str">
        <f t="shared" si="3"/>
        <v/>
      </c>
      <c r="I11" s="46"/>
      <c r="J11" s="47"/>
      <c r="K11" s="48"/>
      <c r="L11" s="49"/>
      <c r="M11" s="53"/>
      <c r="N11" s="51"/>
      <c r="O11" s="52"/>
    </row>
    <row r="12">
      <c r="A12" s="54"/>
      <c r="B12" s="55"/>
      <c r="C12" s="56"/>
      <c r="D12" s="57"/>
      <c r="E12" s="58"/>
      <c r="F12" s="43"/>
      <c r="G12" s="44"/>
      <c r="H12" s="45" t="str">
        <f t="shared" si="3"/>
        <v/>
      </c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5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50"/>
      <c r="N14" s="59"/>
      <c r="O14" s="52"/>
    </row>
    <row r="15">
      <c r="A15" s="54"/>
      <c r="B15" s="55"/>
      <c r="C15" s="56"/>
      <c r="D15" s="57"/>
      <c r="E15" s="58"/>
      <c r="F15" s="43"/>
      <c r="G15" s="44"/>
      <c r="H15" s="45"/>
      <c r="I15" s="46"/>
      <c r="J15" s="47"/>
      <c r="K15" s="48"/>
      <c r="L15" s="49"/>
      <c r="M15" s="60"/>
      <c r="N15" s="59"/>
      <c r="O15" s="52"/>
    </row>
    <row r="16">
      <c r="A16" s="54"/>
      <c r="B16" s="55"/>
      <c r="C16" s="56"/>
      <c r="D16" s="57"/>
      <c r="E16" s="58"/>
      <c r="F16" s="43"/>
      <c r="G16" s="44"/>
      <c r="H16" s="45"/>
      <c r="I16" s="46"/>
      <c r="J16" s="47"/>
      <c r="K16" s="48"/>
      <c r="L16" s="49"/>
      <c r="M16" s="60"/>
      <c r="N16" s="59"/>
      <c r="O16" s="52"/>
    </row>
    <row r="17">
      <c r="A17" s="54"/>
      <c r="B17" s="55"/>
      <c r="C17" s="56"/>
      <c r="D17" s="57"/>
      <c r="E17" s="58"/>
      <c r="F17" s="43" t="str">
        <f t="shared" ref="F17:F35" si="8">IF(C17="","",IF(E17="",B17/C17,B17/C17/E17))</f>
        <v/>
      </c>
      <c r="G17" s="44" t="str">
        <f t="shared" ref="G17:G35" si="9">IF(A17="","","/")</f>
        <v/>
      </c>
      <c r="H17" s="45" t="str">
        <f t="shared" ref="H17:H35" si="10">IF(N17="","",N17)</f>
        <v/>
      </c>
      <c r="I17" s="46"/>
      <c r="J17" s="47" t="str">
        <f t="shared" ref="J17:J35" si="11">IF(F17="","",IF(I17="",F17,F17/I17))</f>
        <v/>
      </c>
      <c r="K17" s="48" t="str">
        <f t="shared" ref="K17:K35" si="12">IF(A17="","","/")</f>
        <v/>
      </c>
      <c r="L17" s="49" t="str">
        <f t="shared" ref="L17:L35" si="13">IF(N17="","",N17)</f>
        <v/>
      </c>
      <c r="M17" s="60"/>
      <c r="N17" s="59"/>
      <c r="O17" s="52" t="str">
        <f t="shared" ref="O17:O35" si="14">IF(J17="","", J17*M17)</f>
        <v/>
      </c>
    </row>
    <row r="18">
      <c r="A18" s="54"/>
      <c r="B18" s="55"/>
      <c r="C18" s="56"/>
      <c r="D18" s="57"/>
      <c r="E18" s="58"/>
      <c r="F18" s="43" t="str">
        <f t="shared" si="8"/>
        <v/>
      </c>
      <c r="G18" s="44" t="str">
        <f t="shared" si="9"/>
        <v/>
      </c>
      <c r="H18" s="45" t="str">
        <f t="shared" si="10"/>
        <v/>
      </c>
      <c r="I18" s="46"/>
      <c r="J18" s="47" t="str">
        <f t="shared" si="11"/>
        <v/>
      </c>
      <c r="K18" s="48" t="str">
        <f t="shared" si="12"/>
        <v/>
      </c>
      <c r="L18" s="49" t="str">
        <f t="shared" si="13"/>
        <v/>
      </c>
      <c r="M18" s="60"/>
      <c r="N18" s="59"/>
      <c r="O18" s="52" t="str">
        <f t="shared" si="14"/>
        <v/>
      </c>
    </row>
    <row r="19">
      <c r="A19" s="54"/>
      <c r="B19" s="55"/>
      <c r="C19" s="56"/>
      <c r="D19" s="57"/>
      <c r="E19" s="58"/>
      <c r="F19" s="43" t="str">
        <f t="shared" si="8"/>
        <v/>
      </c>
      <c r="G19" s="44" t="str">
        <f t="shared" si="9"/>
        <v/>
      </c>
      <c r="H19" s="45" t="str">
        <f t="shared" si="10"/>
        <v/>
      </c>
      <c r="I19" s="46"/>
      <c r="J19" s="47" t="str">
        <f t="shared" si="11"/>
        <v/>
      </c>
      <c r="K19" s="48" t="str">
        <f t="shared" si="12"/>
        <v/>
      </c>
      <c r="L19" s="49" t="str">
        <f t="shared" si="13"/>
        <v/>
      </c>
      <c r="M19" s="60"/>
      <c r="N19" s="59"/>
      <c r="O19" s="52" t="str">
        <f t="shared" si="14"/>
        <v/>
      </c>
    </row>
    <row r="20" hidden="1">
      <c r="A20" s="54"/>
      <c r="B20" s="55"/>
      <c r="C20" s="56"/>
      <c r="D20" s="57"/>
      <c r="E20" s="58"/>
      <c r="F20" s="43" t="str">
        <f t="shared" si="8"/>
        <v/>
      </c>
      <c r="G20" s="44" t="str">
        <f t="shared" si="9"/>
        <v/>
      </c>
      <c r="H20" s="45" t="str">
        <f t="shared" si="10"/>
        <v/>
      </c>
      <c r="I20" s="46"/>
      <c r="J20" s="47" t="str">
        <f t="shared" si="11"/>
        <v/>
      </c>
      <c r="K20" s="48" t="str">
        <f t="shared" si="12"/>
        <v/>
      </c>
      <c r="L20" s="49" t="str">
        <f t="shared" si="13"/>
        <v/>
      </c>
      <c r="M20" s="60"/>
      <c r="N20" s="59"/>
      <c r="O20" s="52" t="str">
        <f t="shared" si="14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8"/>
        <v/>
      </c>
      <c r="G21" s="44" t="str">
        <f t="shared" si="9"/>
        <v/>
      </c>
      <c r="H21" s="45" t="str">
        <f t="shared" si="10"/>
        <v/>
      </c>
      <c r="I21" s="46"/>
      <c r="J21" s="47" t="str">
        <f t="shared" si="11"/>
        <v/>
      </c>
      <c r="K21" s="48" t="str">
        <f t="shared" si="12"/>
        <v/>
      </c>
      <c r="L21" s="49" t="str">
        <f t="shared" si="13"/>
        <v/>
      </c>
      <c r="M21" s="60"/>
      <c r="N21" s="59"/>
      <c r="O21" s="52" t="str">
        <f t="shared" si="14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8"/>
        <v/>
      </c>
      <c r="G22" s="44" t="str">
        <f t="shared" si="9"/>
        <v/>
      </c>
      <c r="H22" s="45" t="str">
        <f t="shared" si="10"/>
        <v/>
      </c>
      <c r="I22" s="46"/>
      <c r="J22" s="47" t="str">
        <f t="shared" si="11"/>
        <v/>
      </c>
      <c r="K22" s="48" t="str">
        <f t="shared" si="12"/>
        <v/>
      </c>
      <c r="L22" s="49" t="str">
        <f t="shared" si="13"/>
        <v/>
      </c>
      <c r="M22" s="60"/>
      <c r="N22" s="59"/>
      <c r="O22" s="52" t="str">
        <f t="shared" si="14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8"/>
        <v/>
      </c>
      <c r="G23" s="44" t="str">
        <f t="shared" si="9"/>
        <v/>
      </c>
      <c r="H23" s="45" t="str">
        <f t="shared" si="10"/>
        <v/>
      </c>
      <c r="I23" s="46"/>
      <c r="J23" s="47" t="str">
        <f t="shared" si="11"/>
        <v/>
      </c>
      <c r="K23" s="48" t="str">
        <f t="shared" si="12"/>
        <v/>
      </c>
      <c r="L23" s="49" t="str">
        <f t="shared" si="13"/>
        <v/>
      </c>
      <c r="M23" s="60"/>
      <c r="N23" s="59"/>
      <c r="O23" s="52" t="str">
        <f t="shared" si="14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8"/>
        <v/>
      </c>
      <c r="G24" s="44" t="str">
        <f t="shared" si="9"/>
        <v/>
      </c>
      <c r="H24" s="45" t="str">
        <f t="shared" si="10"/>
        <v/>
      </c>
      <c r="I24" s="46"/>
      <c r="J24" s="47" t="str">
        <f t="shared" si="11"/>
        <v/>
      </c>
      <c r="K24" s="48" t="str">
        <f t="shared" si="12"/>
        <v/>
      </c>
      <c r="L24" s="49" t="str">
        <f t="shared" si="13"/>
        <v/>
      </c>
      <c r="M24" s="60"/>
      <c r="N24" s="59"/>
      <c r="O24" s="52" t="str">
        <f t="shared" si="14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8"/>
        <v/>
      </c>
      <c r="G25" s="44" t="str">
        <f t="shared" si="9"/>
        <v/>
      </c>
      <c r="H25" s="45" t="str">
        <f t="shared" si="10"/>
        <v/>
      </c>
      <c r="I25" s="46"/>
      <c r="J25" s="47" t="str">
        <f t="shared" si="11"/>
        <v/>
      </c>
      <c r="K25" s="48" t="str">
        <f t="shared" si="12"/>
        <v/>
      </c>
      <c r="L25" s="49" t="str">
        <f t="shared" si="13"/>
        <v/>
      </c>
      <c r="M25" s="61"/>
      <c r="N25" s="62"/>
      <c r="O25" s="52" t="str">
        <f t="shared" si="14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8"/>
        <v/>
      </c>
      <c r="G26" s="44" t="str">
        <f t="shared" si="9"/>
        <v/>
      </c>
      <c r="H26" s="45" t="str">
        <f t="shared" si="10"/>
        <v/>
      </c>
      <c r="I26" s="46"/>
      <c r="J26" s="47" t="str">
        <f t="shared" si="11"/>
        <v/>
      </c>
      <c r="K26" s="48" t="str">
        <f t="shared" si="12"/>
        <v/>
      </c>
      <c r="L26" s="49" t="str">
        <f t="shared" si="13"/>
        <v/>
      </c>
      <c r="M26" s="60"/>
      <c r="N26" s="59"/>
      <c r="O26" s="52" t="str">
        <f t="shared" si="14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8"/>
        <v/>
      </c>
      <c r="G27" s="44" t="str">
        <f t="shared" si="9"/>
        <v/>
      </c>
      <c r="H27" s="45" t="str">
        <f t="shared" si="10"/>
        <v/>
      </c>
      <c r="I27" s="46"/>
      <c r="J27" s="47" t="str">
        <f t="shared" si="11"/>
        <v/>
      </c>
      <c r="K27" s="48" t="str">
        <f t="shared" si="12"/>
        <v/>
      </c>
      <c r="L27" s="49" t="str">
        <f t="shared" si="13"/>
        <v/>
      </c>
      <c r="M27" s="60"/>
      <c r="N27" s="59"/>
      <c r="O27" s="52" t="str">
        <f t="shared" si="14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8"/>
        <v/>
      </c>
      <c r="G28" s="44" t="str">
        <f t="shared" si="9"/>
        <v/>
      </c>
      <c r="H28" s="45" t="str">
        <f t="shared" si="10"/>
        <v/>
      </c>
      <c r="I28" s="46"/>
      <c r="J28" s="47" t="str">
        <f t="shared" si="11"/>
        <v/>
      </c>
      <c r="K28" s="48" t="str">
        <f t="shared" si="12"/>
        <v/>
      </c>
      <c r="L28" s="49" t="str">
        <f t="shared" si="13"/>
        <v/>
      </c>
      <c r="M28" s="60"/>
      <c r="N28" s="59"/>
      <c r="O28" s="52" t="str">
        <f t="shared" si="14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8"/>
        <v/>
      </c>
      <c r="G29" s="44" t="str">
        <f t="shared" si="9"/>
        <v/>
      </c>
      <c r="H29" s="45" t="str">
        <f t="shared" si="10"/>
        <v/>
      </c>
      <c r="I29" s="46"/>
      <c r="J29" s="47" t="str">
        <f t="shared" si="11"/>
        <v/>
      </c>
      <c r="K29" s="48" t="str">
        <f t="shared" si="12"/>
        <v/>
      </c>
      <c r="L29" s="49" t="str">
        <f t="shared" si="13"/>
        <v/>
      </c>
      <c r="M29" s="63"/>
      <c r="N29" s="64"/>
      <c r="O29" s="52" t="str">
        <f t="shared" si="14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8"/>
        <v/>
      </c>
      <c r="G30" s="44" t="str">
        <f t="shared" si="9"/>
        <v/>
      </c>
      <c r="H30" s="45" t="str">
        <f t="shared" si="10"/>
        <v/>
      </c>
      <c r="I30" s="46"/>
      <c r="J30" s="47" t="str">
        <f t="shared" si="11"/>
        <v/>
      </c>
      <c r="K30" s="48" t="str">
        <f t="shared" si="12"/>
        <v/>
      </c>
      <c r="L30" s="45" t="str">
        <f t="shared" si="13"/>
        <v/>
      </c>
      <c r="M30" s="65"/>
      <c r="N30" s="66"/>
      <c r="O30" s="52" t="str">
        <f t="shared" si="14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8"/>
        <v/>
      </c>
      <c r="G31" s="44" t="str">
        <f t="shared" si="9"/>
        <v/>
      </c>
      <c r="H31" s="45" t="str">
        <f t="shared" si="10"/>
        <v/>
      </c>
      <c r="I31" s="46"/>
      <c r="J31" s="47" t="str">
        <f t="shared" si="11"/>
        <v/>
      </c>
      <c r="K31" s="48" t="str">
        <f t="shared" si="12"/>
        <v/>
      </c>
      <c r="L31" s="45" t="str">
        <f t="shared" si="13"/>
        <v/>
      </c>
      <c r="M31" s="67"/>
      <c r="N31" s="66"/>
      <c r="O31" s="52" t="str">
        <f t="shared" si="14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8"/>
        <v/>
      </c>
      <c r="G32" s="44" t="str">
        <f t="shared" si="9"/>
        <v/>
      </c>
      <c r="H32" s="45" t="str">
        <f t="shared" si="10"/>
        <v/>
      </c>
      <c r="I32" s="46"/>
      <c r="J32" s="47" t="str">
        <f t="shared" si="11"/>
        <v/>
      </c>
      <c r="K32" s="48" t="str">
        <f t="shared" si="12"/>
        <v/>
      </c>
      <c r="L32" s="45" t="str">
        <f t="shared" si="13"/>
        <v/>
      </c>
      <c r="M32" s="67"/>
      <c r="N32" s="66"/>
      <c r="O32" s="52" t="str">
        <f t="shared" si="14"/>
        <v/>
      </c>
    </row>
    <row r="33" ht="15.75" hidden="1" customHeight="1">
      <c r="A33" s="54"/>
      <c r="B33" s="55"/>
      <c r="C33" s="56"/>
      <c r="D33" s="57"/>
      <c r="E33" s="58"/>
      <c r="F33" s="43" t="str">
        <f t="shared" si="8"/>
        <v/>
      </c>
      <c r="G33" s="44" t="str">
        <f t="shared" si="9"/>
        <v/>
      </c>
      <c r="H33" s="45" t="str">
        <f t="shared" si="10"/>
        <v/>
      </c>
      <c r="I33" s="46"/>
      <c r="J33" s="47" t="str">
        <f t="shared" si="11"/>
        <v/>
      </c>
      <c r="K33" s="48" t="str">
        <f t="shared" si="12"/>
        <v/>
      </c>
      <c r="L33" s="45" t="str">
        <f t="shared" si="13"/>
        <v/>
      </c>
      <c r="M33" s="67"/>
      <c r="N33" s="66"/>
      <c r="O33" s="52" t="str">
        <f t="shared" si="14"/>
        <v/>
      </c>
    </row>
    <row r="34" ht="15.75" hidden="1" customHeight="1">
      <c r="A34" s="54"/>
      <c r="B34" s="55"/>
      <c r="C34" s="56"/>
      <c r="D34" s="57"/>
      <c r="E34" s="58"/>
      <c r="F34" s="43" t="str">
        <f t="shared" si="8"/>
        <v/>
      </c>
      <c r="G34" s="44" t="str">
        <f t="shared" si="9"/>
        <v/>
      </c>
      <c r="H34" s="45" t="str">
        <f t="shared" si="10"/>
        <v/>
      </c>
      <c r="I34" s="46"/>
      <c r="J34" s="47" t="str">
        <f t="shared" si="11"/>
        <v/>
      </c>
      <c r="K34" s="48" t="str">
        <f t="shared" si="12"/>
        <v/>
      </c>
      <c r="L34" s="45" t="str">
        <f t="shared" si="13"/>
        <v/>
      </c>
      <c r="M34" s="67"/>
      <c r="N34" s="66"/>
      <c r="O34" s="52" t="str">
        <f t="shared" si="14"/>
        <v/>
      </c>
    </row>
    <row r="35" ht="15.75" customHeight="1">
      <c r="A35" s="68"/>
      <c r="B35" s="55"/>
      <c r="C35" s="56"/>
      <c r="D35" s="57"/>
      <c r="E35" s="69"/>
      <c r="F35" s="43" t="str">
        <f t="shared" si="8"/>
        <v/>
      </c>
      <c r="G35" s="44" t="str">
        <f t="shared" si="9"/>
        <v/>
      </c>
      <c r="H35" s="45" t="str">
        <f t="shared" si="10"/>
        <v/>
      </c>
      <c r="I35" s="46"/>
      <c r="J35" s="47" t="str">
        <f t="shared" si="11"/>
        <v/>
      </c>
      <c r="K35" s="48" t="str">
        <f t="shared" si="12"/>
        <v/>
      </c>
      <c r="L35" s="70" t="str">
        <f t="shared" si="13"/>
        <v/>
      </c>
      <c r="M35" s="67"/>
      <c r="N35" s="71"/>
      <c r="O35" s="52" t="str">
        <f t="shared" si="14"/>
        <v/>
      </c>
    </row>
    <row r="36" ht="15.75" customHeight="1">
      <c r="A36" s="72" t="s">
        <v>26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73"/>
      <c r="O36" s="74">
        <f>IF(O6="","",SUM(O6:O35))</f>
        <v>75.77009602</v>
      </c>
    </row>
    <row r="37" ht="15.75" customHeight="1">
      <c r="A37" s="75" t="s">
        <v>27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8"/>
    </row>
    <row r="38" ht="15.75" customHeight="1">
      <c r="A38" s="75" t="s">
        <v>28</v>
      </c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7"/>
      <c r="O38" s="78"/>
    </row>
    <row r="39" ht="15.75" customHeight="1">
      <c r="A39" s="75" t="s">
        <v>29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  <c r="O39" s="79" t="str">
        <f>IF(M1=0,"",IF(O38="","",O38/M1))</f>
        <v/>
      </c>
    </row>
    <row r="40" ht="15.75" customHeight="1">
      <c r="A40" s="80" t="s">
        <v>30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2"/>
      <c r="O40" s="83" t="str">
        <f>IF(M2=0,"",IF(O38="","",O38/M2))</f>
        <v/>
      </c>
    </row>
    <row r="41" ht="15.75" customHeight="1"/>
    <row r="42" ht="15.75" customHeight="1">
      <c r="A42" s="84" t="s">
        <v>44</v>
      </c>
    </row>
    <row r="43" ht="15.75" customHeight="1">
      <c r="A43" s="84" t="s">
        <v>39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6:N36"/>
    <mergeCell ref="A37:N37"/>
    <mergeCell ref="A38:N38"/>
    <mergeCell ref="A39:N39"/>
    <mergeCell ref="A40:N40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90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91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8" si="1">IF(C6="","",IF(E6="",B6/C6,B6/C6/E6))</f>
        <v>1.07</v>
      </c>
      <c r="G6" s="44" t="str">
        <f t="shared" ref="G6:G8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8" si="4">IF(F6="","",IF(I6="",F6,F6/I6))</f>
        <v>1.188888889</v>
      </c>
      <c r="K6" s="48" t="str">
        <f t="shared" ref="K6:K8" si="5">IF(A6="","","/")</f>
        <v>/</v>
      </c>
      <c r="L6" s="49" t="str">
        <f>IF(N6="","",N6)</f>
        <v>liter</v>
      </c>
      <c r="M6" s="53">
        <v>18.0</v>
      </c>
      <c r="N6" s="51" t="s">
        <v>43</v>
      </c>
      <c r="O6" s="52">
        <f t="shared" ref="O6:O8" si="6">IF(J6="","", J6*M6)</f>
        <v>21.4</v>
      </c>
    </row>
    <row r="7">
      <c r="A7" s="38" t="s">
        <v>80</v>
      </c>
      <c r="B7" s="39">
        <v>490.44</v>
      </c>
      <c r="C7" s="41">
        <v>1.35</v>
      </c>
      <c r="D7" s="41" t="s">
        <v>43</v>
      </c>
      <c r="E7" s="42">
        <v>1350.0</v>
      </c>
      <c r="F7" s="43">
        <f t="shared" si="1"/>
        <v>0.2691028807</v>
      </c>
      <c r="G7" s="44" t="str">
        <f t="shared" si="2"/>
        <v>/</v>
      </c>
      <c r="H7" s="45" t="str">
        <f t="shared" si="3"/>
        <v>ml</v>
      </c>
      <c r="I7" s="85">
        <v>0.9</v>
      </c>
      <c r="J7" s="47">
        <f t="shared" si="4"/>
        <v>0.2990032007</v>
      </c>
      <c r="K7" s="48" t="str">
        <f t="shared" si="5"/>
        <v>/</v>
      </c>
      <c r="L7" s="86" t="s">
        <v>25</v>
      </c>
      <c r="M7" s="53">
        <v>20.0</v>
      </c>
      <c r="N7" s="51" t="s">
        <v>25</v>
      </c>
      <c r="O7" s="52">
        <f t="shared" si="6"/>
        <v>5.980064015</v>
      </c>
    </row>
    <row r="8">
      <c r="A8" s="38" t="s">
        <v>24</v>
      </c>
      <c r="B8" s="39">
        <v>35.0</v>
      </c>
      <c r="C8" s="40">
        <v>1.0</v>
      </c>
      <c r="D8" s="41" t="s">
        <v>25</v>
      </c>
      <c r="E8" s="42">
        <v>20000.0</v>
      </c>
      <c r="F8" s="43">
        <f t="shared" si="1"/>
        <v>0.00175</v>
      </c>
      <c r="G8" s="44" t="str">
        <f t="shared" si="2"/>
        <v>/</v>
      </c>
      <c r="H8" s="45" t="str">
        <f t="shared" si="3"/>
        <v>ml</v>
      </c>
      <c r="I8" s="85">
        <v>0.9</v>
      </c>
      <c r="J8" s="47">
        <f t="shared" si="4"/>
        <v>0.001944444444</v>
      </c>
      <c r="K8" s="48" t="str">
        <f t="shared" si="5"/>
        <v>/</v>
      </c>
      <c r="L8" s="86" t="s">
        <v>25</v>
      </c>
      <c r="M8" s="53">
        <v>20.0</v>
      </c>
      <c r="N8" s="51" t="s">
        <v>25</v>
      </c>
      <c r="O8" s="52">
        <f t="shared" si="6"/>
        <v>0.03888888889</v>
      </c>
    </row>
    <row r="9">
      <c r="A9" s="54"/>
      <c r="B9" s="55"/>
      <c r="C9" s="56"/>
      <c r="D9" s="57"/>
      <c r="E9" s="58"/>
      <c r="F9" s="43"/>
      <c r="G9" s="44"/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27.4189529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>
      <c r="A41" s="84" t="s">
        <v>81</v>
      </c>
    </row>
    <row r="42" ht="15.75" customHeight="1">
      <c r="A42" s="84" t="s">
        <v>82</v>
      </c>
      <c r="B42" s="84">
        <v>118.8</v>
      </c>
    </row>
    <row r="43" ht="15.75" customHeight="1">
      <c r="A43" s="84" t="s">
        <v>83</v>
      </c>
      <c r="B43" s="84">
        <v>48.6</v>
      </c>
    </row>
    <row r="44" ht="15.75" customHeight="1">
      <c r="A44" s="84" t="s">
        <v>84</v>
      </c>
      <c r="B44" s="84">
        <v>186.0</v>
      </c>
    </row>
    <row r="45" ht="15.75" customHeight="1">
      <c r="A45" s="84" t="s">
        <v>85</v>
      </c>
      <c r="B45" s="84">
        <v>136.0</v>
      </c>
    </row>
    <row r="46" ht="15.75" customHeight="1">
      <c r="A46" s="84" t="s">
        <v>86</v>
      </c>
      <c r="B46" s="84">
        <v>1.04</v>
      </c>
    </row>
    <row r="47" ht="15.75" customHeight="1">
      <c r="A47" s="84" t="s">
        <v>64</v>
      </c>
      <c r="B47" s="88">
        <f>SUM(B42:B46)</f>
        <v>490.44</v>
      </c>
    </row>
    <row r="48" ht="15.75" customHeight="1">
      <c r="A48" s="84"/>
    </row>
    <row r="49" ht="15.75" customHeight="1">
      <c r="A49" s="84" t="s">
        <v>65</v>
      </c>
    </row>
    <row r="50" ht="15.75" customHeight="1">
      <c r="A50" s="84" t="s">
        <v>66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92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93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8" si="1">IF(C6="","",IF(E6="",B6/C6,B6/C6/E6))</f>
        <v>1.07</v>
      </c>
      <c r="G6" s="44" t="str">
        <f t="shared" ref="G6:G8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8" si="4">IF(F6="","",IF(I6="",F6,F6/I6))</f>
        <v>1.188888889</v>
      </c>
      <c r="K6" s="48" t="str">
        <f t="shared" ref="K6:K8" si="5">IF(A6="","","/")</f>
        <v>/</v>
      </c>
      <c r="L6" s="49" t="str">
        <f>IF(N6="","",N6)</f>
        <v>liter</v>
      </c>
      <c r="M6" s="53">
        <v>20.0</v>
      </c>
      <c r="N6" s="51" t="s">
        <v>43</v>
      </c>
      <c r="O6" s="52">
        <f t="shared" ref="O6:O8" si="6">IF(J6="","", J6*M6)</f>
        <v>23.77777778</v>
      </c>
    </row>
    <row r="7">
      <c r="A7" s="38" t="s">
        <v>80</v>
      </c>
      <c r="B7" s="39">
        <v>490.44</v>
      </c>
      <c r="C7" s="41">
        <v>1.35</v>
      </c>
      <c r="D7" s="41" t="s">
        <v>43</v>
      </c>
      <c r="E7" s="42">
        <v>1350.0</v>
      </c>
      <c r="F7" s="43">
        <f t="shared" si="1"/>
        <v>0.2691028807</v>
      </c>
      <c r="G7" s="44" t="str">
        <f t="shared" si="2"/>
        <v>/</v>
      </c>
      <c r="H7" s="45" t="str">
        <f t="shared" si="3"/>
        <v>ml</v>
      </c>
      <c r="I7" s="85">
        <v>0.9</v>
      </c>
      <c r="J7" s="47">
        <f t="shared" si="4"/>
        <v>0.2990032007</v>
      </c>
      <c r="K7" s="48" t="str">
        <f t="shared" si="5"/>
        <v>/</v>
      </c>
      <c r="L7" s="86" t="s">
        <v>25</v>
      </c>
      <c r="M7" s="53">
        <v>30.0</v>
      </c>
      <c r="N7" s="51" t="s">
        <v>25</v>
      </c>
      <c r="O7" s="52">
        <f t="shared" si="6"/>
        <v>8.970096022</v>
      </c>
    </row>
    <row r="8">
      <c r="A8" s="38" t="s">
        <v>24</v>
      </c>
      <c r="B8" s="39">
        <v>35.0</v>
      </c>
      <c r="C8" s="40">
        <v>1.0</v>
      </c>
      <c r="D8" s="41" t="s">
        <v>25</v>
      </c>
      <c r="E8" s="42">
        <v>20000.0</v>
      </c>
      <c r="F8" s="43">
        <f t="shared" si="1"/>
        <v>0.00175</v>
      </c>
      <c r="G8" s="44" t="str">
        <f t="shared" si="2"/>
        <v>/</v>
      </c>
      <c r="H8" s="45" t="str">
        <f t="shared" si="3"/>
        <v>ml</v>
      </c>
      <c r="I8" s="85">
        <v>0.9</v>
      </c>
      <c r="J8" s="47">
        <f t="shared" si="4"/>
        <v>0.001944444444</v>
      </c>
      <c r="K8" s="48" t="str">
        <f t="shared" si="5"/>
        <v>/</v>
      </c>
      <c r="L8" s="86" t="s">
        <v>25</v>
      </c>
      <c r="M8" s="53">
        <v>20.0</v>
      </c>
      <c r="N8" s="51" t="s">
        <v>25</v>
      </c>
      <c r="O8" s="52">
        <f t="shared" si="6"/>
        <v>0.03888888889</v>
      </c>
    </row>
    <row r="9">
      <c r="A9" s="54"/>
      <c r="B9" s="55"/>
      <c r="C9" s="56"/>
      <c r="D9" s="57"/>
      <c r="E9" s="58"/>
      <c r="F9" s="43"/>
      <c r="G9" s="44"/>
      <c r="H9" s="45" t="str">
        <f t="shared" si="3"/>
        <v/>
      </c>
      <c r="I9" s="46"/>
      <c r="J9" s="47"/>
      <c r="K9" s="48"/>
      <c r="L9" s="86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32.78676269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>
      <c r="A41" s="84" t="s">
        <v>81</v>
      </c>
    </row>
    <row r="42" ht="15.75" customHeight="1">
      <c r="A42" s="84" t="s">
        <v>82</v>
      </c>
      <c r="B42" s="84">
        <v>118.8</v>
      </c>
    </row>
    <row r="43" ht="15.75" customHeight="1">
      <c r="A43" s="84" t="s">
        <v>83</v>
      </c>
      <c r="B43" s="84">
        <v>48.6</v>
      </c>
    </row>
    <row r="44" ht="15.75" customHeight="1">
      <c r="A44" s="84" t="s">
        <v>84</v>
      </c>
      <c r="B44" s="84">
        <v>186.0</v>
      </c>
    </row>
    <row r="45" ht="15.75" customHeight="1">
      <c r="A45" s="84" t="s">
        <v>85</v>
      </c>
      <c r="B45" s="84">
        <v>136.0</v>
      </c>
    </row>
    <row r="46" ht="15.75" customHeight="1">
      <c r="A46" s="84" t="s">
        <v>86</v>
      </c>
      <c r="B46" s="84">
        <v>1.04</v>
      </c>
    </row>
    <row r="47" ht="15.75" customHeight="1">
      <c r="A47" s="84" t="s">
        <v>64</v>
      </c>
      <c r="B47" s="88">
        <f>SUM(B42:B46)</f>
        <v>490.44</v>
      </c>
    </row>
    <row r="48" ht="15.75" customHeight="1">
      <c r="A48" s="84"/>
    </row>
    <row r="49" ht="15.75" customHeight="1">
      <c r="A49" s="84" t="s">
        <v>65</v>
      </c>
    </row>
    <row r="50" ht="15.75" customHeight="1">
      <c r="A50" s="84" t="s">
        <v>66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94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95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9" si="1">IF(C6="","",IF(E6="",B6/C6,B6/C6/E6))</f>
        <v>1.07</v>
      </c>
      <c r="G6" s="44" t="str">
        <f t="shared" ref="G6:G9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9" si="4">IF(F6="","",IF(I6="",F6,F6/I6))</f>
        <v>1.188888889</v>
      </c>
      <c r="K6" s="48" t="str">
        <f t="shared" ref="K6:K9" si="5">IF(A6="","","/")</f>
        <v>/</v>
      </c>
      <c r="L6" s="49" t="str">
        <f>IF(N6="","",N6)</f>
        <v>liter</v>
      </c>
      <c r="M6" s="53">
        <v>20.0</v>
      </c>
      <c r="N6" s="51" t="s">
        <v>43</v>
      </c>
      <c r="O6" s="52">
        <f t="shared" ref="O6:O9" si="6">IF(J6="","", J6*M6)</f>
        <v>23.77777778</v>
      </c>
    </row>
    <row r="7">
      <c r="A7" s="38" t="s">
        <v>80</v>
      </c>
      <c r="B7" s="39">
        <v>490.44</v>
      </c>
      <c r="C7" s="41">
        <v>1.35</v>
      </c>
      <c r="D7" s="41" t="s">
        <v>43</v>
      </c>
      <c r="E7" s="42">
        <v>1350.0</v>
      </c>
      <c r="F7" s="43">
        <f t="shared" si="1"/>
        <v>0.2691028807</v>
      </c>
      <c r="G7" s="44" t="str">
        <f t="shared" si="2"/>
        <v>/</v>
      </c>
      <c r="H7" s="45" t="str">
        <f t="shared" si="3"/>
        <v>ml</v>
      </c>
      <c r="I7" s="85">
        <v>0.9</v>
      </c>
      <c r="J7" s="47">
        <f t="shared" si="4"/>
        <v>0.2990032007</v>
      </c>
      <c r="K7" s="48" t="str">
        <f t="shared" si="5"/>
        <v>/</v>
      </c>
      <c r="L7" s="86" t="s">
        <v>25</v>
      </c>
      <c r="M7" s="53">
        <v>30.0</v>
      </c>
      <c r="N7" s="51" t="s">
        <v>25</v>
      </c>
      <c r="O7" s="52">
        <f t="shared" si="6"/>
        <v>8.970096022</v>
      </c>
    </row>
    <row r="8">
      <c r="A8" s="38" t="s">
        <v>37</v>
      </c>
      <c r="B8" s="39">
        <v>40.0</v>
      </c>
      <c r="C8" s="40">
        <v>1.0</v>
      </c>
      <c r="D8" s="41" t="s">
        <v>22</v>
      </c>
      <c r="E8" s="42">
        <v>25.0</v>
      </c>
      <c r="F8" s="43">
        <f t="shared" si="1"/>
        <v>1.6</v>
      </c>
      <c r="G8" s="44" t="str">
        <f t="shared" si="2"/>
        <v>/</v>
      </c>
      <c r="H8" s="45" t="str">
        <f t="shared" si="3"/>
        <v>kg</v>
      </c>
      <c r="I8" s="85">
        <v>0.75</v>
      </c>
      <c r="J8" s="47">
        <f t="shared" si="4"/>
        <v>2.133333333</v>
      </c>
      <c r="K8" s="48" t="str">
        <f t="shared" si="5"/>
        <v>/</v>
      </c>
      <c r="L8" s="86" t="s">
        <v>22</v>
      </c>
      <c r="M8" s="53">
        <v>1.0</v>
      </c>
      <c r="N8" s="51" t="s">
        <v>22</v>
      </c>
      <c r="O8" s="52">
        <f t="shared" si="6"/>
        <v>2.133333333</v>
      </c>
    </row>
    <row r="9">
      <c r="A9" s="38" t="s">
        <v>24</v>
      </c>
      <c r="B9" s="39">
        <v>35.0</v>
      </c>
      <c r="C9" s="40">
        <v>1.0</v>
      </c>
      <c r="D9" s="41" t="s">
        <v>25</v>
      </c>
      <c r="E9" s="42">
        <v>20000.0</v>
      </c>
      <c r="F9" s="43">
        <f t="shared" si="1"/>
        <v>0.00175</v>
      </c>
      <c r="G9" s="44" t="str">
        <f t="shared" si="2"/>
        <v>/</v>
      </c>
      <c r="H9" s="45" t="str">
        <f t="shared" si="3"/>
        <v>ml</v>
      </c>
      <c r="I9" s="85">
        <v>0.9</v>
      </c>
      <c r="J9" s="47">
        <f t="shared" si="4"/>
        <v>0.001944444444</v>
      </c>
      <c r="K9" s="48" t="str">
        <f t="shared" si="5"/>
        <v>/</v>
      </c>
      <c r="L9" s="86" t="s">
        <v>25</v>
      </c>
      <c r="M9" s="53">
        <v>20.0</v>
      </c>
      <c r="N9" s="51" t="s">
        <v>25</v>
      </c>
      <c r="O9" s="52">
        <f t="shared" si="6"/>
        <v>0.03888888889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86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34.92009602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96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8.0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97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8" si="1">IF(C6="","",IF(E6="",B6/C6,B6/C6/E6))</f>
        <v>1.07</v>
      </c>
      <c r="G6" s="44" t="str">
        <f t="shared" ref="G6:G8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8" si="4">IF(F6="","",IF(I6="",F6,F6/I6))</f>
        <v>1.188888889</v>
      </c>
      <c r="K6" s="48" t="str">
        <f t="shared" ref="K6:K8" si="5">IF(A6="","","/")</f>
        <v>/</v>
      </c>
      <c r="L6" s="49" t="str">
        <f>IF(N6="","",N6)</f>
        <v>liter</v>
      </c>
      <c r="M6" s="53">
        <v>18.0</v>
      </c>
      <c r="N6" s="51" t="s">
        <v>43</v>
      </c>
      <c r="O6" s="52">
        <f t="shared" ref="O6:O8" si="6">IF(J6="","", J6*M6)</f>
        <v>21.4</v>
      </c>
    </row>
    <row r="7">
      <c r="A7" s="38" t="s">
        <v>98</v>
      </c>
      <c r="B7" s="39">
        <v>900.0</v>
      </c>
      <c r="C7" s="41">
        <v>907.0</v>
      </c>
      <c r="D7" s="41" t="s">
        <v>52</v>
      </c>
      <c r="E7" s="42">
        <v>1.0</v>
      </c>
      <c r="F7" s="43">
        <f t="shared" si="1"/>
        <v>0.9922822492</v>
      </c>
      <c r="G7" s="44" t="str">
        <f t="shared" si="2"/>
        <v>/</v>
      </c>
      <c r="H7" s="45" t="str">
        <f t="shared" si="3"/>
        <v>gram</v>
      </c>
      <c r="I7" s="85">
        <v>0.9</v>
      </c>
      <c r="J7" s="47">
        <f t="shared" si="4"/>
        <v>1.102535832</v>
      </c>
      <c r="K7" s="48" t="str">
        <f t="shared" si="5"/>
        <v>/</v>
      </c>
      <c r="L7" s="86" t="s">
        <v>25</v>
      </c>
      <c r="M7" s="53">
        <v>20.0</v>
      </c>
      <c r="N7" s="51" t="s">
        <v>99</v>
      </c>
      <c r="O7" s="52">
        <f t="shared" si="6"/>
        <v>22.05071665</v>
      </c>
    </row>
    <row r="8">
      <c r="A8" s="38" t="s">
        <v>24</v>
      </c>
      <c r="B8" s="39">
        <v>35.0</v>
      </c>
      <c r="C8" s="40">
        <v>1.0</v>
      </c>
      <c r="D8" s="41" t="s">
        <v>25</v>
      </c>
      <c r="E8" s="42">
        <v>20000.0</v>
      </c>
      <c r="F8" s="43">
        <f t="shared" si="1"/>
        <v>0.00175</v>
      </c>
      <c r="G8" s="44" t="str">
        <f t="shared" si="2"/>
        <v>/</v>
      </c>
      <c r="H8" s="45" t="str">
        <f t="shared" si="3"/>
        <v>ml</v>
      </c>
      <c r="I8" s="85">
        <v>0.9</v>
      </c>
      <c r="J8" s="47">
        <f t="shared" si="4"/>
        <v>0.001944444444</v>
      </c>
      <c r="K8" s="48" t="str">
        <f t="shared" si="5"/>
        <v>/</v>
      </c>
      <c r="L8" s="86" t="s">
        <v>25</v>
      </c>
      <c r="M8" s="53">
        <v>20.0</v>
      </c>
      <c r="N8" s="51" t="s">
        <v>25</v>
      </c>
      <c r="O8" s="52">
        <f t="shared" si="6"/>
        <v>0.03888888889</v>
      </c>
    </row>
    <row r="9">
      <c r="A9" s="54"/>
      <c r="B9" s="55"/>
      <c r="C9" s="56"/>
      <c r="D9" s="57"/>
      <c r="E9" s="58"/>
      <c r="F9" s="43"/>
      <c r="G9" s="44"/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43.48960554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100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101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8" si="1">IF(C6="","",IF(E6="",B6/C6,B6/C6/E6))</f>
        <v>1.07</v>
      </c>
      <c r="G6" s="44" t="str">
        <f t="shared" ref="G6:G8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8" si="4">IF(F6="","",IF(I6="",F6,F6/I6))</f>
        <v>1.188888889</v>
      </c>
      <c r="K6" s="48" t="str">
        <f t="shared" ref="K6:K8" si="5">IF(A6="","","/")</f>
        <v>/</v>
      </c>
      <c r="L6" s="49" t="str">
        <f>IF(N6="","",N6)</f>
        <v>liter</v>
      </c>
      <c r="M6" s="53">
        <v>20.0</v>
      </c>
      <c r="N6" s="51" t="s">
        <v>43</v>
      </c>
      <c r="O6" s="52">
        <f t="shared" ref="O6:O8" si="6">IF(J6="","", J6*M6)</f>
        <v>23.77777778</v>
      </c>
    </row>
    <row r="7">
      <c r="A7" s="38" t="s">
        <v>98</v>
      </c>
      <c r="B7" s="39">
        <v>900.0</v>
      </c>
      <c r="C7" s="41">
        <v>907.0</v>
      </c>
      <c r="D7" s="41" t="s">
        <v>52</v>
      </c>
      <c r="E7" s="42">
        <v>1.0</v>
      </c>
      <c r="F7" s="43">
        <f t="shared" si="1"/>
        <v>0.9922822492</v>
      </c>
      <c r="G7" s="44" t="str">
        <f t="shared" si="2"/>
        <v>/</v>
      </c>
      <c r="H7" s="45" t="str">
        <f t="shared" si="3"/>
        <v>gram</v>
      </c>
      <c r="I7" s="85">
        <v>0.9</v>
      </c>
      <c r="J7" s="47">
        <f t="shared" si="4"/>
        <v>1.102535832</v>
      </c>
      <c r="K7" s="48" t="str">
        <f t="shared" si="5"/>
        <v>/</v>
      </c>
      <c r="L7" s="86" t="s">
        <v>25</v>
      </c>
      <c r="M7" s="53">
        <v>40.0</v>
      </c>
      <c r="N7" s="51" t="s">
        <v>99</v>
      </c>
      <c r="O7" s="52">
        <f t="shared" si="6"/>
        <v>44.1014333</v>
      </c>
    </row>
    <row r="8">
      <c r="A8" s="38" t="s">
        <v>24</v>
      </c>
      <c r="B8" s="39">
        <v>35.0</v>
      </c>
      <c r="C8" s="40">
        <v>1.0</v>
      </c>
      <c r="D8" s="41" t="s">
        <v>25</v>
      </c>
      <c r="E8" s="42">
        <v>20000.0</v>
      </c>
      <c r="F8" s="43">
        <f t="shared" si="1"/>
        <v>0.00175</v>
      </c>
      <c r="G8" s="44" t="str">
        <f t="shared" si="2"/>
        <v>/</v>
      </c>
      <c r="H8" s="45" t="str">
        <f t="shared" si="3"/>
        <v>ml</v>
      </c>
      <c r="I8" s="85">
        <v>0.9</v>
      </c>
      <c r="J8" s="47">
        <f t="shared" si="4"/>
        <v>0.001944444444</v>
      </c>
      <c r="K8" s="48" t="str">
        <f t="shared" si="5"/>
        <v>/</v>
      </c>
      <c r="L8" s="86" t="s">
        <v>25</v>
      </c>
      <c r="M8" s="53">
        <v>20.0</v>
      </c>
      <c r="N8" s="51" t="s">
        <v>25</v>
      </c>
      <c r="O8" s="52">
        <f t="shared" si="6"/>
        <v>0.03888888889</v>
      </c>
    </row>
    <row r="9">
      <c r="A9" s="54"/>
      <c r="B9" s="55"/>
      <c r="C9" s="56"/>
      <c r="D9" s="57"/>
      <c r="E9" s="58"/>
      <c r="F9" s="43"/>
      <c r="G9" s="44"/>
      <c r="H9" s="45" t="str">
        <f t="shared" si="3"/>
        <v/>
      </c>
      <c r="I9" s="46"/>
      <c r="J9" s="47"/>
      <c r="K9" s="48"/>
      <c r="L9" s="49"/>
      <c r="M9" s="50"/>
      <c r="N9" s="59"/>
      <c r="O9" s="52"/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67.91809996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102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12.0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103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9" si="1">IF(C6="","",IF(E6="",B6/C6,B6/C6/E6))</f>
        <v>1.07</v>
      </c>
      <c r="G6" s="44" t="str">
        <f t="shared" ref="G6:G9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9" si="4">IF(F6="","",IF(I6="",F6,F6/I6))</f>
        <v>1.188888889</v>
      </c>
      <c r="K6" s="48" t="str">
        <f t="shared" ref="K6:K9" si="5">IF(A6="","","/")</f>
        <v>/</v>
      </c>
      <c r="L6" s="49" t="str">
        <f>IF(N6="","",N6)</f>
        <v>liter</v>
      </c>
      <c r="M6" s="53">
        <v>12.0</v>
      </c>
      <c r="N6" s="51" t="s">
        <v>43</v>
      </c>
      <c r="O6" s="52">
        <f t="shared" ref="O6:O9" si="6">IF(J6="","", J6*M6)</f>
        <v>14.26666667</v>
      </c>
    </row>
    <row r="7">
      <c r="A7" s="38" t="s">
        <v>98</v>
      </c>
      <c r="B7" s="39">
        <v>900.0</v>
      </c>
      <c r="C7" s="41">
        <v>907.0</v>
      </c>
      <c r="D7" s="41" t="s">
        <v>52</v>
      </c>
      <c r="E7" s="42">
        <v>1.0</v>
      </c>
      <c r="F7" s="43">
        <f t="shared" si="1"/>
        <v>0.9922822492</v>
      </c>
      <c r="G7" s="44" t="str">
        <f t="shared" si="2"/>
        <v>/</v>
      </c>
      <c r="H7" s="45" t="str">
        <f t="shared" si="3"/>
        <v>gram</v>
      </c>
      <c r="I7" s="85">
        <v>0.9</v>
      </c>
      <c r="J7" s="47">
        <f t="shared" si="4"/>
        <v>1.102535832</v>
      </c>
      <c r="K7" s="48" t="str">
        <f t="shared" si="5"/>
        <v>/</v>
      </c>
      <c r="L7" s="86" t="s">
        <v>25</v>
      </c>
      <c r="M7" s="53">
        <v>40.0</v>
      </c>
      <c r="N7" s="51" t="s">
        <v>99</v>
      </c>
      <c r="O7" s="52">
        <f t="shared" si="6"/>
        <v>44.1014333</v>
      </c>
    </row>
    <row r="8">
      <c r="A8" s="38" t="s">
        <v>24</v>
      </c>
      <c r="B8" s="39">
        <v>35.0</v>
      </c>
      <c r="C8" s="40">
        <v>1.0</v>
      </c>
      <c r="D8" s="41" t="s">
        <v>25</v>
      </c>
      <c r="E8" s="42">
        <v>20000.0</v>
      </c>
      <c r="F8" s="43">
        <f t="shared" si="1"/>
        <v>0.00175</v>
      </c>
      <c r="G8" s="44" t="str">
        <f t="shared" si="2"/>
        <v>/</v>
      </c>
      <c r="H8" s="45" t="str">
        <f t="shared" si="3"/>
        <v>ml</v>
      </c>
      <c r="I8" s="85">
        <v>0.9</v>
      </c>
      <c r="J8" s="47">
        <f t="shared" si="4"/>
        <v>0.001944444444</v>
      </c>
      <c r="K8" s="48" t="str">
        <f t="shared" si="5"/>
        <v>/</v>
      </c>
      <c r="L8" s="86" t="s">
        <v>25</v>
      </c>
      <c r="M8" s="53">
        <v>50.0</v>
      </c>
      <c r="N8" s="51" t="s">
        <v>25</v>
      </c>
      <c r="O8" s="52">
        <f t="shared" si="6"/>
        <v>0.09722222222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 t="str">
        <f t="shared" si="5"/>
        <v>/</v>
      </c>
      <c r="L9" s="86" t="s">
        <v>22</v>
      </c>
      <c r="M9" s="53">
        <v>1.0</v>
      </c>
      <c r="N9" s="51" t="s">
        <v>22</v>
      </c>
      <c r="O9" s="52">
        <f t="shared" si="6"/>
        <v>2.133333333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60.59865552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5.43"/>
    <col customWidth="1" min="3" max="4" width="8.71"/>
    <col customWidth="1" min="5" max="5" width="17.0"/>
    <col customWidth="1" min="6" max="12" width="8.71"/>
    <col customWidth="1" min="13" max="13" width="13.43"/>
    <col customWidth="1" min="14" max="26" width="8.71"/>
  </cols>
  <sheetData>
    <row r="1">
      <c r="A1" s="1" t="s">
        <v>0</v>
      </c>
      <c r="B1" s="2" t="s">
        <v>104</v>
      </c>
      <c r="C1" s="3"/>
      <c r="D1" s="3"/>
      <c r="E1" s="3"/>
      <c r="F1" s="3"/>
      <c r="G1" s="4"/>
      <c r="H1" s="5" t="s">
        <v>2</v>
      </c>
      <c r="I1" s="3"/>
      <c r="J1" s="3"/>
      <c r="K1" s="3"/>
      <c r="L1" s="4"/>
      <c r="M1" s="6"/>
      <c r="N1" s="7"/>
      <c r="O1" s="8"/>
    </row>
    <row r="2">
      <c r="A2" s="9" t="s">
        <v>3</v>
      </c>
      <c r="B2" s="10">
        <v>1.0</v>
      </c>
      <c r="C2" s="11" t="s">
        <v>4</v>
      </c>
      <c r="D2" s="12"/>
      <c r="E2" s="12"/>
      <c r="F2" s="13"/>
      <c r="G2" s="14"/>
      <c r="H2" s="15" t="s">
        <v>5</v>
      </c>
      <c r="I2" s="16"/>
      <c r="J2" s="16"/>
      <c r="K2" s="16"/>
      <c r="L2" s="17"/>
      <c r="M2" s="18"/>
      <c r="N2" s="12"/>
      <c r="O2" s="19"/>
    </row>
    <row r="3">
      <c r="A3" s="9" t="s">
        <v>6</v>
      </c>
      <c r="B3" s="20">
        <v>16.0</v>
      </c>
      <c r="C3" s="11" t="s">
        <v>7</v>
      </c>
      <c r="D3" s="12"/>
      <c r="E3" s="12"/>
      <c r="F3" s="10"/>
      <c r="G3" s="12"/>
      <c r="H3" s="15" t="s">
        <v>8</v>
      </c>
      <c r="I3" s="16"/>
      <c r="J3" s="16"/>
      <c r="K3" s="16"/>
      <c r="L3" s="17"/>
      <c r="M3" s="21"/>
      <c r="N3" s="12"/>
      <c r="O3" s="19"/>
    </row>
    <row r="4">
      <c r="A4" s="22" t="s">
        <v>9</v>
      </c>
      <c r="B4" s="23">
        <v>1.0</v>
      </c>
      <c r="C4" s="24"/>
      <c r="D4" s="24"/>
      <c r="E4" s="24"/>
      <c r="F4" s="25"/>
      <c r="G4" s="24"/>
      <c r="H4" s="26"/>
      <c r="I4" s="24"/>
      <c r="J4" s="27"/>
      <c r="K4" s="28"/>
      <c r="L4" s="29"/>
      <c r="M4" s="24"/>
      <c r="N4" s="24"/>
      <c r="O4" s="30"/>
    </row>
    <row r="5" ht="86.25" customHeight="1">
      <c r="A5" s="31" t="s">
        <v>10</v>
      </c>
      <c r="B5" s="32" t="s">
        <v>11</v>
      </c>
      <c r="C5" s="32" t="s">
        <v>12</v>
      </c>
      <c r="D5" s="32" t="s">
        <v>13</v>
      </c>
      <c r="E5" s="33" t="s">
        <v>105</v>
      </c>
      <c r="F5" s="34" t="s">
        <v>15</v>
      </c>
      <c r="G5" s="35"/>
      <c r="H5" s="36"/>
      <c r="I5" s="31" t="s">
        <v>16</v>
      </c>
      <c r="J5" s="34" t="s">
        <v>17</v>
      </c>
      <c r="K5" s="35"/>
      <c r="L5" s="36"/>
      <c r="M5" s="32" t="s">
        <v>18</v>
      </c>
      <c r="N5" s="32" t="s">
        <v>19</v>
      </c>
      <c r="O5" s="37" t="s">
        <v>20</v>
      </c>
    </row>
    <row r="6">
      <c r="A6" s="38" t="s">
        <v>42</v>
      </c>
      <c r="B6" s="39">
        <v>107.0</v>
      </c>
      <c r="C6" s="40">
        <v>1.0</v>
      </c>
      <c r="D6" s="41" t="s">
        <v>43</v>
      </c>
      <c r="E6" s="42">
        <v>100.0</v>
      </c>
      <c r="F6" s="43">
        <f t="shared" ref="F6:F9" si="1">IF(C6="","",IF(E6="",B6/C6,B6/C6/E6))</f>
        <v>1.07</v>
      </c>
      <c r="G6" s="44" t="str">
        <f t="shared" ref="G6:G9" si="2">IF(A6="","","/")</f>
        <v>/</v>
      </c>
      <c r="H6" s="45" t="str">
        <f t="shared" ref="H6:H10" si="3">IF(N6="","",N6)</f>
        <v>liter</v>
      </c>
      <c r="I6" s="85">
        <v>0.9</v>
      </c>
      <c r="J6" s="47">
        <f t="shared" ref="J6:J9" si="4">IF(F6="","",IF(I6="",F6,F6/I6))</f>
        <v>1.188888889</v>
      </c>
      <c r="K6" s="48" t="str">
        <f t="shared" ref="K6:K9" si="5">IF(A6="","","/")</f>
        <v>/</v>
      </c>
      <c r="L6" s="49" t="str">
        <f>IF(N6="","",N6)</f>
        <v>liter</v>
      </c>
      <c r="M6" s="53">
        <v>22.5</v>
      </c>
      <c r="N6" s="51" t="s">
        <v>43</v>
      </c>
      <c r="O6" s="52">
        <f t="shared" ref="O6:O9" si="6">IF(J6="","", J6*M6)</f>
        <v>26.75</v>
      </c>
    </row>
    <row r="7">
      <c r="A7" s="38" t="s">
        <v>98</v>
      </c>
      <c r="B7" s="39">
        <v>900.0</v>
      </c>
      <c r="C7" s="41">
        <v>907.0</v>
      </c>
      <c r="D7" s="41" t="s">
        <v>52</v>
      </c>
      <c r="E7" s="42">
        <v>1.0</v>
      </c>
      <c r="F7" s="43">
        <f t="shared" si="1"/>
        <v>0.9922822492</v>
      </c>
      <c r="G7" s="44" t="str">
        <f t="shared" si="2"/>
        <v>/</v>
      </c>
      <c r="H7" s="45" t="str">
        <f t="shared" si="3"/>
        <v>gram</v>
      </c>
      <c r="I7" s="85">
        <v>0.9</v>
      </c>
      <c r="J7" s="47">
        <f t="shared" si="4"/>
        <v>1.102535832</v>
      </c>
      <c r="K7" s="48" t="str">
        <f t="shared" si="5"/>
        <v>/</v>
      </c>
      <c r="L7" s="86" t="s">
        <v>25</v>
      </c>
      <c r="M7" s="53">
        <v>50.0</v>
      </c>
      <c r="N7" s="51" t="s">
        <v>99</v>
      </c>
      <c r="O7" s="52">
        <f t="shared" si="6"/>
        <v>55.12679162</v>
      </c>
    </row>
    <row r="8">
      <c r="A8" s="38" t="s">
        <v>24</v>
      </c>
      <c r="B8" s="39">
        <v>35.0</v>
      </c>
      <c r="C8" s="40">
        <v>1.0</v>
      </c>
      <c r="D8" s="41" t="s">
        <v>25</v>
      </c>
      <c r="E8" s="42">
        <v>20000.0</v>
      </c>
      <c r="F8" s="43">
        <f t="shared" si="1"/>
        <v>0.00175</v>
      </c>
      <c r="G8" s="44" t="str">
        <f t="shared" si="2"/>
        <v>/</v>
      </c>
      <c r="H8" s="45" t="str">
        <f t="shared" si="3"/>
        <v>ml</v>
      </c>
      <c r="I8" s="85">
        <v>0.9</v>
      </c>
      <c r="J8" s="47">
        <f t="shared" si="4"/>
        <v>0.001944444444</v>
      </c>
      <c r="K8" s="48" t="str">
        <f t="shared" si="5"/>
        <v>/</v>
      </c>
      <c r="L8" s="86" t="s">
        <v>25</v>
      </c>
      <c r="M8" s="53">
        <v>50.0</v>
      </c>
      <c r="N8" s="51" t="s">
        <v>25</v>
      </c>
      <c r="O8" s="52">
        <f t="shared" si="6"/>
        <v>0.09722222222</v>
      </c>
    </row>
    <row r="9">
      <c r="A9" s="38" t="s">
        <v>37</v>
      </c>
      <c r="B9" s="39">
        <v>40.0</v>
      </c>
      <c r="C9" s="40">
        <v>1.0</v>
      </c>
      <c r="D9" s="41" t="s">
        <v>22</v>
      </c>
      <c r="E9" s="42">
        <v>25.0</v>
      </c>
      <c r="F9" s="43">
        <f t="shared" si="1"/>
        <v>1.6</v>
      </c>
      <c r="G9" s="44" t="str">
        <f t="shared" si="2"/>
        <v>/</v>
      </c>
      <c r="H9" s="45" t="str">
        <f t="shared" si="3"/>
        <v>kg</v>
      </c>
      <c r="I9" s="85">
        <v>0.75</v>
      </c>
      <c r="J9" s="47">
        <f t="shared" si="4"/>
        <v>2.133333333</v>
      </c>
      <c r="K9" s="48" t="str">
        <f t="shared" si="5"/>
        <v>/</v>
      </c>
      <c r="L9" s="86" t="s">
        <v>22</v>
      </c>
      <c r="M9" s="53">
        <v>1.0</v>
      </c>
      <c r="N9" s="51" t="s">
        <v>22</v>
      </c>
      <c r="O9" s="52">
        <f t="shared" si="6"/>
        <v>2.133333333</v>
      </c>
    </row>
    <row r="10">
      <c r="A10" s="54"/>
      <c r="B10" s="55"/>
      <c r="C10" s="56"/>
      <c r="D10" s="57"/>
      <c r="E10" s="58"/>
      <c r="F10" s="43"/>
      <c r="G10" s="44"/>
      <c r="H10" s="45" t="str">
        <f t="shared" si="3"/>
        <v/>
      </c>
      <c r="I10" s="46"/>
      <c r="J10" s="47"/>
      <c r="K10" s="48"/>
      <c r="L10" s="49"/>
      <c r="M10" s="50"/>
      <c r="N10" s="59"/>
      <c r="O10" s="52"/>
    </row>
    <row r="11">
      <c r="A11" s="54"/>
      <c r="B11" s="55"/>
      <c r="C11" s="56"/>
      <c r="D11" s="57"/>
      <c r="E11" s="58"/>
      <c r="F11" s="43"/>
      <c r="G11" s="44"/>
      <c r="H11" s="45"/>
      <c r="I11" s="46"/>
      <c r="J11" s="47"/>
      <c r="K11" s="48"/>
      <c r="L11" s="49"/>
      <c r="M11" s="50"/>
      <c r="N11" s="59"/>
      <c r="O11" s="52"/>
    </row>
    <row r="12">
      <c r="A12" s="54"/>
      <c r="B12" s="55"/>
      <c r="C12" s="56"/>
      <c r="D12" s="57"/>
      <c r="E12" s="58"/>
      <c r="F12" s="43"/>
      <c r="G12" s="44"/>
      <c r="H12" s="45"/>
      <c r="I12" s="46"/>
      <c r="J12" s="47"/>
      <c r="K12" s="48"/>
      <c r="L12" s="49"/>
      <c r="M12" s="50"/>
      <c r="N12" s="59"/>
      <c r="O12" s="52"/>
    </row>
    <row r="13">
      <c r="A13" s="54"/>
      <c r="B13" s="55"/>
      <c r="C13" s="56"/>
      <c r="D13" s="57"/>
      <c r="E13" s="58"/>
      <c r="F13" s="43"/>
      <c r="G13" s="44"/>
      <c r="H13" s="45"/>
      <c r="I13" s="46"/>
      <c r="J13" s="47"/>
      <c r="K13" s="48"/>
      <c r="L13" s="49"/>
      <c r="M13" s="60"/>
      <c r="N13" s="59"/>
      <c r="O13" s="52"/>
    </row>
    <row r="14">
      <c r="A14" s="54"/>
      <c r="B14" s="55"/>
      <c r="C14" s="56"/>
      <c r="D14" s="57"/>
      <c r="E14" s="58"/>
      <c r="F14" s="43"/>
      <c r="G14" s="44"/>
      <c r="H14" s="45"/>
      <c r="I14" s="46"/>
      <c r="J14" s="47"/>
      <c r="K14" s="48"/>
      <c r="L14" s="49"/>
      <c r="M14" s="60"/>
      <c r="N14" s="59"/>
      <c r="O14" s="52"/>
    </row>
    <row r="15">
      <c r="A15" s="54"/>
      <c r="B15" s="55"/>
      <c r="C15" s="56"/>
      <c r="D15" s="57"/>
      <c r="E15" s="58"/>
      <c r="F15" s="43" t="str">
        <f t="shared" ref="F15:F33" si="7">IF(C15="","",IF(E15="",B15/C15,B15/C15/E15))</f>
        <v/>
      </c>
      <c r="G15" s="44" t="str">
        <f t="shared" ref="G15:G33" si="8">IF(A15="","","/")</f>
        <v/>
      </c>
      <c r="H15" s="45" t="str">
        <f t="shared" ref="H15:H33" si="9">IF(N15="","",N15)</f>
        <v/>
      </c>
      <c r="I15" s="46"/>
      <c r="J15" s="47" t="str">
        <f t="shared" ref="J15:J33" si="10">IF(F15="","",IF(I15="",F15,F15/I15))</f>
        <v/>
      </c>
      <c r="K15" s="48" t="str">
        <f t="shared" ref="K15:K33" si="11">IF(A15="","","/")</f>
        <v/>
      </c>
      <c r="L15" s="49" t="str">
        <f t="shared" ref="L15:L33" si="12">IF(N15="","",N15)</f>
        <v/>
      </c>
      <c r="M15" s="60"/>
      <c r="N15" s="59"/>
      <c r="O15" s="52" t="str">
        <f t="shared" ref="O15:O33" si="13">IF(J15="","", J15*M15)</f>
        <v/>
      </c>
    </row>
    <row r="16">
      <c r="A16" s="54"/>
      <c r="B16" s="55"/>
      <c r="C16" s="56"/>
      <c r="D16" s="57"/>
      <c r="E16" s="58"/>
      <c r="F16" s="43" t="str">
        <f t="shared" si="7"/>
        <v/>
      </c>
      <c r="G16" s="44" t="str">
        <f t="shared" si="8"/>
        <v/>
      </c>
      <c r="H16" s="45" t="str">
        <f t="shared" si="9"/>
        <v/>
      </c>
      <c r="I16" s="46"/>
      <c r="J16" s="47" t="str">
        <f t="shared" si="10"/>
        <v/>
      </c>
      <c r="K16" s="48" t="str">
        <f t="shared" si="11"/>
        <v/>
      </c>
      <c r="L16" s="49" t="str">
        <f t="shared" si="12"/>
        <v/>
      </c>
      <c r="M16" s="60"/>
      <c r="N16" s="59"/>
      <c r="O16" s="52" t="str">
        <f t="shared" si="13"/>
        <v/>
      </c>
    </row>
    <row r="17">
      <c r="A17" s="54"/>
      <c r="B17" s="55"/>
      <c r="C17" s="56"/>
      <c r="D17" s="57"/>
      <c r="E17" s="58"/>
      <c r="F17" s="43" t="str">
        <f t="shared" si="7"/>
        <v/>
      </c>
      <c r="G17" s="44" t="str">
        <f t="shared" si="8"/>
        <v/>
      </c>
      <c r="H17" s="45" t="str">
        <f t="shared" si="9"/>
        <v/>
      </c>
      <c r="I17" s="46"/>
      <c r="J17" s="47" t="str">
        <f t="shared" si="10"/>
        <v/>
      </c>
      <c r="K17" s="48" t="str">
        <f t="shared" si="11"/>
        <v/>
      </c>
      <c r="L17" s="49" t="str">
        <f t="shared" si="12"/>
        <v/>
      </c>
      <c r="M17" s="60"/>
      <c r="N17" s="59"/>
      <c r="O17" s="52" t="str">
        <f t="shared" si="13"/>
        <v/>
      </c>
    </row>
    <row r="18" hidden="1">
      <c r="A18" s="54"/>
      <c r="B18" s="55"/>
      <c r="C18" s="56"/>
      <c r="D18" s="57"/>
      <c r="E18" s="58"/>
      <c r="F18" s="43" t="str">
        <f t="shared" si="7"/>
        <v/>
      </c>
      <c r="G18" s="44" t="str">
        <f t="shared" si="8"/>
        <v/>
      </c>
      <c r="H18" s="45" t="str">
        <f t="shared" si="9"/>
        <v/>
      </c>
      <c r="I18" s="46"/>
      <c r="J18" s="47" t="str">
        <f t="shared" si="10"/>
        <v/>
      </c>
      <c r="K18" s="48" t="str">
        <f t="shared" si="11"/>
        <v/>
      </c>
      <c r="L18" s="49" t="str">
        <f t="shared" si="12"/>
        <v/>
      </c>
      <c r="M18" s="60"/>
      <c r="N18" s="59"/>
      <c r="O18" s="52" t="str">
        <f t="shared" si="13"/>
        <v/>
      </c>
    </row>
    <row r="19" ht="15.75" hidden="1" customHeight="1">
      <c r="A19" s="54"/>
      <c r="B19" s="55"/>
      <c r="C19" s="56"/>
      <c r="D19" s="57"/>
      <c r="E19" s="58"/>
      <c r="F19" s="43" t="str">
        <f t="shared" si="7"/>
        <v/>
      </c>
      <c r="G19" s="44" t="str">
        <f t="shared" si="8"/>
        <v/>
      </c>
      <c r="H19" s="45" t="str">
        <f t="shared" si="9"/>
        <v/>
      </c>
      <c r="I19" s="46"/>
      <c r="J19" s="47" t="str">
        <f t="shared" si="10"/>
        <v/>
      </c>
      <c r="K19" s="48" t="str">
        <f t="shared" si="11"/>
        <v/>
      </c>
      <c r="L19" s="49" t="str">
        <f t="shared" si="12"/>
        <v/>
      </c>
      <c r="M19" s="60"/>
      <c r="N19" s="59"/>
      <c r="O19" s="52" t="str">
        <f t="shared" si="13"/>
        <v/>
      </c>
    </row>
    <row r="20" ht="15.75" hidden="1" customHeight="1">
      <c r="A20" s="54"/>
      <c r="B20" s="55"/>
      <c r="C20" s="56"/>
      <c r="D20" s="57"/>
      <c r="E20" s="58"/>
      <c r="F20" s="43" t="str">
        <f t="shared" si="7"/>
        <v/>
      </c>
      <c r="G20" s="44" t="str">
        <f t="shared" si="8"/>
        <v/>
      </c>
      <c r="H20" s="45" t="str">
        <f t="shared" si="9"/>
        <v/>
      </c>
      <c r="I20" s="46"/>
      <c r="J20" s="47" t="str">
        <f t="shared" si="10"/>
        <v/>
      </c>
      <c r="K20" s="48" t="str">
        <f t="shared" si="11"/>
        <v/>
      </c>
      <c r="L20" s="49" t="str">
        <f t="shared" si="12"/>
        <v/>
      </c>
      <c r="M20" s="60"/>
      <c r="N20" s="59"/>
      <c r="O20" s="52" t="str">
        <f t="shared" si="13"/>
        <v/>
      </c>
    </row>
    <row r="21" ht="15.75" hidden="1" customHeight="1">
      <c r="A21" s="54"/>
      <c r="B21" s="55"/>
      <c r="C21" s="56"/>
      <c r="D21" s="57"/>
      <c r="E21" s="58"/>
      <c r="F21" s="43" t="str">
        <f t="shared" si="7"/>
        <v/>
      </c>
      <c r="G21" s="44" t="str">
        <f t="shared" si="8"/>
        <v/>
      </c>
      <c r="H21" s="45" t="str">
        <f t="shared" si="9"/>
        <v/>
      </c>
      <c r="I21" s="46"/>
      <c r="J21" s="47" t="str">
        <f t="shared" si="10"/>
        <v/>
      </c>
      <c r="K21" s="48" t="str">
        <f t="shared" si="11"/>
        <v/>
      </c>
      <c r="L21" s="49" t="str">
        <f t="shared" si="12"/>
        <v/>
      </c>
      <c r="M21" s="60"/>
      <c r="N21" s="59"/>
      <c r="O21" s="52" t="str">
        <f t="shared" si="13"/>
        <v/>
      </c>
    </row>
    <row r="22" ht="15.75" hidden="1" customHeight="1">
      <c r="A22" s="54"/>
      <c r="B22" s="55"/>
      <c r="C22" s="56"/>
      <c r="D22" s="57"/>
      <c r="E22" s="58"/>
      <c r="F22" s="43" t="str">
        <f t="shared" si="7"/>
        <v/>
      </c>
      <c r="G22" s="44" t="str">
        <f t="shared" si="8"/>
        <v/>
      </c>
      <c r="H22" s="45" t="str">
        <f t="shared" si="9"/>
        <v/>
      </c>
      <c r="I22" s="46"/>
      <c r="J22" s="47" t="str">
        <f t="shared" si="10"/>
        <v/>
      </c>
      <c r="K22" s="48" t="str">
        <f t="shared" si="11"/>
        <v/>
      </c>
      <c r="L22" s="49" t="str">
        <f t="shared" si="12"/>
        <v/>
      </c>
      <c r="M22" s="60"/>
      <c r="N22" s="59"/>
      <c r="O22" s="52" t="str">
        <f t="shared" si="13"/>
        <v/>
      </c>
    </row>
    <row r="23" ht="15.75" hidden="1" customHeight="1">
      <c r="A23" s="54"/>
      <c r="B23" s="55"/>
      <c r="C23" s="56"/>
      <c r="D23" s="57"/>
      <c r="E23" s="58"/>
      <c r="F23" s="43" t="str">
        <f t="shared" si="7"/>
        <v/>
      </c>
      <c r="G23" s="44" t="str">
        <f t="shared" si="8"/>
        <v/>
      </c>
      <c r="H23" s="45" t="str">
        <f t="shared" si="9"/>
        <v/>
      </c>
      <c r="I23" s="46"/>
      <c r="J23" s="47" t="str">
        <f t="shared" si="10"/>
        <v/>
      </c>
      <c r="K23" s="48" t="str">
        <f t="shared" si="11"/>
        <v/>
      </c>
      <c r="L23" s="49" t="str">
        <f t="shared" si="12"/>
        <v/>
      </c>
      <c r="M23" s="61"/>
      <c r="N23" s="62"/>
      <c r="O23" s="52" t="str">
        <f t="shared" si="13"/>
        <v/>
      </c>
    </row>
    <row r="24" ht="15.75" hidden="1" customHeight="1">
      <c r="A24" s="54"/>
      <c r="B24" s="55"/>
      <c r="C24" s="56"/>
      <c r="D24" s="57"/>
      <c r="E24" s="58"/>
      <c r="F24" s="43" t="str">
        <f t="shared" si="7"/>
        <v/>
      </c>
      <c r="G24" s="44" t="str">
        <f t="shared" si="8"/>
        <v/>
      </c>
      <c r="H24" s="45" t="str">
        <f t="shared" si="9"/>
        <v/>
      </c>
      <c r="I24" s="46"/>
      <c r="J24" s="47" t="str">
        <f t="shared" si="10"/>
        <v/>
      </c>
      <c r="K24" s="48" t="str">
        <f t="shared" si="11"/>
        <v/>
      </c>
      <c r="L24" s="49" t="str">
        <f t="shared" si="12"/>
        <v/>
      </c>
      <c r="M24" s="60"/>
      <c r="N24" s="59"/>
      <c r="O24" s="52" t="str">
        <f t="shared" si="13"/>
        <v/>
      </c>
    </row>
    <row r="25" ht="15.75" hidden="1" customHeight="1">
      <c r="A25" s="54"/>
      <c r="B25" s="55"/>
      <c r="C25" s="56"/>
      <c r="D25" s="57"/>
      <c r="E25" s="58"/>
      <c r="F25" s="43" t="str">
        <f t="shared" si="7"/>
        <v/>
      </c>
      <c r="G25" s="44" t="str">
        <f t="shared" si="8"/>
        <v/>
      </c>
      <c r="H25" s="45" t="str">
        <f t="shared" si="9"/>
        <v/>
      </c>
      <c r="I25" s="46"/>
      <c r="J25" s="47" t="str">
        <f t="shared" si="10"/>
        <v/>
      </c>
      <c r="K25" s="48" t="str">
        <f t="shared" si="11"/>
        <v/>
      </c>
      <c r="L25" s="49" t="str">
        <f t="shared" si="12"/>
        <v/>
      </c>
      <c r="M25" s="60"/>
      <c r="N25" s="59"/>
      <c r="O25" s="52" t="str">
        <f t="shared" si="13"/>
        <v/>
      </c>
    </row>
    <row r="26" ht="15.75" hidden="1" customHeight="1">
      <c r="A26" s="54"/>
      <c r="B26" s="55"/>
      <c r="C26" s="56"/>
      <c r="D26" s="57"/>
      <c r="E26" s="58"/>
      <c r="F26" s="43" t="str">
        <f t="shared" si="7"/>
        <v/>
      </c>
      <c r="G26" s="44" t="str">
        <f t="shared" si="8"/>
        <v/>
      </c>
      <c r="H26" s="45" t="str">
        <f t="shared" si="9"/>
        <v/>
      </c>
      <c r="I26" s="46"/>
      <c r="J26" s="47" t="str">
        <f t="shared" si="10"/>
        <v/>
      </c>
      <c r="K26" s="48" t="str">
        <f t="shared" si="11"/>
        <v/>
      </c>
      <c r="L26" s="49" t="str">
        <f t="shared" si="12"/>
        <v/>
      </c>
      <c r="M26" s="60"/>
      <c r="N26" s="59"/>
      <c r="O26" s="52" t="str">
        <f t="shared" si="13"/>
        <v/>
      </c>
    </row>
    <row r="27" ht="15.75" hidden="1" customHeight="1">
      <c r="A27" s="54"/>
      <c r="B27" s="55"/>
      <c r="C27" s="56"/>
      <c r="D27" s="57"/>
      <c r="E27" s="58"/>
      <c r="F27" s="43" t="str">
        <f t="shared" si="7"/>
        <v/>
      </c>
      <c r="G27" s="44" t="str">
        <f t="shared" si="8"/>
        <v/>
      </c>
      <c r="H27" s="45" t="str">
        <f t="shared" si="9"/>
        <v/>
      </c>
      <c r="I27" s="46"/>
      <c r="J27" s="47" t="str">
        <f t="shared" si="10"/>
        <v/>
      </c>
      <c r="K27" s="48" t="str">
        <f t="shared" si="11"/>
        <v/>
      </c>
      <c r="L27" s="49" t="str">
        <f t="shared" si="12"/>
        <v/>
      </c>
      <c r="M27" s="63"/>
      <c r="N27" s="64"/>
      <c r="O27" s="52" t="str">
        <f t="shared" si="13"/>
        <v/>
      </c>
    </row>
    <row r="28" ht="15.75" hidden="1" customHeight="1">
      <c r="A28" s="54"/>
      <c r="B28" s="55"/>
      <c r="C28" s="56"/>
      <c r="D28" s="57"/>
      <c r="E28" s="58"/>
      <c r="F28" s="43" t="str">
        <f t="shared" si="7"/>
        <v/>
      </c>
      <c r="G28" s="44" t="str">
        <f t="shared" si="8"/>
        <v/>
      </c>
      <c r="H28" s="45" t="str">
        <f t="shared" si="9"/>
        <v/>
      </c>
      <c r="I28" s="46"/>
      <c r="J28" s="47" t="str">
        <f t="shared" si="10"/>
        <v/>
      </c>
      <c r="K28" s="48" t="str">
        <f t="shared" si="11"/>
        <v/>
      </c>
      <c r="L28" s="45" t="str">
        <f t="shared" si="12"/>
        <v/>
      </c>
      <c r="M28" s="65"/>
      <c r="N28" s="66"/>
      <c r="O28" s="52" t="str">
        <f t="shared" si="13"/>
        <v/>
      </c>
    </row>
    <row r="29" ht="15.75" hidden="1" customHeight="1">
      <c r="A29" s="54"/>
      <c r="B29" s="55"/>
      <c r="C29" s="56"/>
      <c r="D29" s="57"/>
      <c r="E29" s="58"/>
      <c r="F29" s="43" t="str">
        <f t="shared" si="7"/>
        <v/>
      </c>
      <c r="G29" s="44" t="str">
        <f t="shared" si="8"/>
        <v/>
      </c>
      <c r="H29" s="45" t="str">
        <f t="shared" si="9"/>
        <v/>
      </c>
      <c r="I29" s="46"/>
      <c r="J29" s="47" t="str">
        <f t="shared" si="10"/>
        <v/>
      </c>
      <c r="K29" s="48" t="str">
        <f t="shared" si="11"/>
        <v/>
      </c>
      <c r="L29" s="45" t="str">
        <f t="shared" si="12"/>
        <v/>
      </c>
      <c r="M29" s="67"/>
      <c r="N29" s="66"/>
      <c r="O29" s="52" t="str">
        <f t="shared" si="13"/>
        <v/>
      </c>
    </row>
    <row r="30" ht="15.75" hidden="1" customHeight="1">
      <c r="A30" s="54"/>
      <c r="B30" s="55"/>
      <c r="C30" s="56"/>
      <c r="D30" s="57"/>
      <c r="E30" s="58"/>
      <c r="F30" s="43" t="str">
        <f t="shared" si="7"/>
        <v/>
      </c>
      <c r="G30" s="44" t="str">
        <f t="shared" si="8"/>
        <v/>
      </c>
      <c r="H30" s="45" t="str">
        <f t="shared" si="9"/>
        <v/>
      </c>
      <c r="I30" s="46"/>
      <c r="J30" s="47" t="str">
        <f t="shared" si="10"/>
        <v/>
      </c>
      <c r="K30" s="48" t="str">
        <f t="shared" si="11"/>
        <v/>
      </c>
      <c r="L30" s="45" t="str">
        <f t="shared" si="12"/>
        <v/>
      </c>
      <c r="M30" s="67"/>
      <c r="N30" s="66"/>
      <c r="O30" s="52" t="str">
        <f t="shared" si="13"/>
        <v/>
      </c>
    </row>
    <row r="31" ht="15.75" hidden="1" customHeight="1">
      <c r="A31" s="54"/>
      <c r="B31" s="55"/>
      <c r="C31" s="56"/>
      <c r="D31" s="57"/>
      <c r="E31" s="58"/>
      <c r="F31" s="43" t="str">
        <f t="shared" si="7"/>
        <v/>
      </c>
      <c r="G31" s="44" t="str">
        <f t="shared" si="8"/>
        <v/>
      </c>
      <c r="H31" s="45" t="str">
        <f t="shared" si="9"/>
        <v/>
      </c>
      <c r="I31" s="46"/>
      <c r="J31" s="47" t="str">
        <f t="shared" si="10"/>
        <v/>
      </c>
      <c r="K31" s="48" t="str">
        <f t="shared" si="11"/>
        <v/>
      </c>
      <c r="L31" s="45" t="str">
        <f t="shared" si="12"/>
        <v/>
      </c>
      <c r="M31" s="67"/>
      <c r="N31" s="66"/>
      <c r="O31" s="52" t="str">
        <f t="shared" si="13"/>
        <v/>
      </c>
    </row>
    <row r="32" ht="15.75" hidden="1" customHeight="1">
      <c r="A32" s="54"/>
      <c r="B32" s="55"/>
      <c r="C32" s="56"/>
      <c r="D32" s="57"/>
      <c r="E32" s="58"/>
      <c r="F32" s="43" t="str">
        <f t="shared" si="7"/>
        <v/>
      </c>
      <c r="G32" s="44" t="str">
        <f t="shared" si="8"/>
        <v/>
      </c>
      <c r="H32" s="45" t="str">
        <f t="shared" si="9"/>
        <v/>
      </c>
      <c r="I32" s="46"/>
      <c r="J32" s="47" t="str">
        <f t="shared" si="10"/>
        <v/>
      </c>
      <c r="K32" s="48" t="str">
        <f t="shared" si="11"/>
        <v/>
      </c>
      <c r="L32" s="45" t="str">
        <f t="shared" si="12"/>
        <v/>
      </c>
      <c r="M32" s="67"/>
      <c r="N32" s="66"/>
      <c r="O32" s="52" t="str">
        <f t="shared" si="13"/>
        <v/>
      </c>
    </row>
    <row r="33" ht="15.75" customHeight="1">
      <c r="A33" s="68"/>
      <c r="B33" s="55"/>
      <c r="C33" s="56"/>
      <c r="D33" s="57"/>
      <c r="E33" s="69"/>
      <c r="F33" s="43" t="str">
        <f t="shared" si="7"/>
        <v/>
      </c>
      <c r="G33" s="44" t="str">
        <f t="shared" si="8"/>
        <v/>
      </c>
      <c r="H33" s="45" t="str">
        <f t="shared" si="9"/>
        <v/>
      </c>
      <c r="I33" s="46"/>
      <c r="J33" s="47" t="str">
        <f t="shared" si="10"/>
        <v/>
      </c>
      <c r="K33" s="48" t="str">
        <f t="shared" si="11"/>
        <v/>
      </c>
      <c r="L33" s="70" t="str">
        <f t="shared" si="12"/>
        <v/>
      </c>
      <c r="M33" s="67"/>
      <c r="N33" s="71"/>
      <c r="O33" s="52" t="str">
        <f t="shared" si="13"/>
        <v/>
      </c>
    </row>
    <row r="34" ht="15.75" customHeight="1">
      <c r="A34" s="72" t="s">
        <v>26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73"/>
      <c r="O34" s="74">
        <f>IF(O6="","",SUM(O6:O33))</f>
        <v>84.10734718</v>
      </c>
    </row>
    <row r="35" ht="15.75" customHeight="1">
      <c r="A35" s="75" t="s">
        <v>27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7"/>
      <c r="O35" s="78"/>
    </row>
    <row r="36" ht="15.75" customHeight="1">
      <c r="A36" s="75" t="s">
        <v>28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7"/>
      <c r="O36" s="78"/>
    </row>
    <row r="37" ht="15.75" customHeight="1">
      <c r="A37" s="75" t="s">
        <v>29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  <c r="O37" s="79" t="str">
        <f>IF(M1=0,"",IF(O36="","",O36/M1))</f>
        <v/>
      </c>
    </row>
    <row r="38" ht="15.75" customHeight="1">
      <c r="A38" s="80" t="s">
        <v>30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2"/>
      <c r="O38" s="83" t="str">
        <f>IF(M2=0,"",IF(O36="","",O36/M2))</f>
        <v/>
      </c>
    </row>
    <row r="39" ht="15.75" customHeight="1"/>
    <row r="40" ht="15.75" customHeight="1">
      <c r="A40" s="84" t="s">
        <v>44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8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A34:N34"/>
    <mergeCell ref="A35:N35"/>
    <mergeCell ref="A36:N36"/>
    <mergeCell ref="A37:N37"/>
    <mergeCell ref="A38:N38"/>
    <mergeCell ref="B1:G1"/>
    <mergeCell ref="H1:L1"/>
    <mergeCell ref="H2:L2"/>
    <mergeCell ref="H3:L3"/>
    <mergeCell ref="J4:L4"/>
    <mergeCell ref="F5:H5"/>
    <mergeCell ref="J5:L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2024-03-13T03:25:53Z</dcterms:created>
  <dc:creator>Admin</dc:creator>
</cp:coreProperties>
</file>